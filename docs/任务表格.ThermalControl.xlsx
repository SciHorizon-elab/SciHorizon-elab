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kaikai\Desktop\"/>
    </mc:Choice>
  </mc:AlternateContent>
  <bookViews>
    <workbookView windowWidth="22188" windowHeight="9060" activeTab="5"/>
  </bookViews>
  <sheets>
    <sheet name="任务汇总" sheetId="1" r:id="rId1"/>
    <sheet name="加热台处理" sheetId="2" r:id="rId2"/>
    <sheet name="水浴处理" sheetId="3" r:id="rId3"/>
    <sheet name="温度计操作" sheetId="5" r:id="rId4"/>
    <sheet name="酒精灯加热" sheetId="4" r:id="rId5"/>
    <sheet name="多设备热处理" sheetId="6" r:id="rId6"/>
  </sheets>
  <definedNames>
    <definedName name="_xlnm._FilterDatabase" localSheetId="1" hidden="1">加热台处理!$A$4:$E$17</definedName>
    <definedName name="_xlnm._FilterDatabase" localSheetId="2" hidden="1">水浴处理!$A$4:$E$15</definedName>
    <definedName name="_xlnm._FilterDatabase" localSheetId="3" hidden="1">温度计操作!$A$4:$E$12</definedName>
    <definedName name="_xlnm._FilterDatabase" localSheetId="4" hidden="1">酒精灯加热!$A$4:$E$15</definedName>
    <definedName name="_xlnm._FilterDatabase" localSheetId="5" hidden="1">多设备热处理!$A$4:$E$16</definedName>
    <definedName name="_xlnm.Print_Titles" localSheetId="0">任务汇总!$1:$4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<sst xmlns="http://schemas.openxmlformats.org/spreadsheetml/2006/main" count="328" uniqueCount="245">
  <si>
    <t>VLABench 热控制与孵育任务方案 / Thermal Control and Incubation Task Plan</t>
  </si>
  <si>
    <t>共58项候选任务，按5个设备子类组织，其中8项为琥珀色缓冲任务。删除不稳定任务后仍可保留不少于50项。CuSO4、FeCl2、KMnO4仅作为材料绑定。 / 58 candidate tasks in five device subfamilies, including 8 amber buffer tasks, so at least 50 remain after unstable tasks are removed. Materials are bindings only.</t>
  </si>
  <si>
    <t>类型 / Type</t>
  </si>
  <si>
    <t>程序结构 / Structures</t>
  </si>
  <si>
    <t>缓冲任务 / Buffer tasks</t>
  </si>
  <si>
    <t>人工触发 / Event-conditioned</t>
  </si>
  <si>
    <t>任务数 / Tasks</t>
  </si>
  <si>
    <t>加热台处理 / Hot-Plate Heating</t>
  </si>
  <si>
    <t>水浴处理 / Water-Bath Incubation</t>
  </si>
  <si>
    <t>酒精灯加热 / Alcohol-Lamp Heating</t>
  </si>
  <si>
    <t>温度计操作 / Thermometer Insertion and Retrieval</t>
  </si>
  <si>
    <t>多设备热处理 / Multi-Device Thermal Procedures</t>
  </si>
  <si>
    <t>总计 / Total</t>
  </si>
  <si>
    <t>设计口径 / Counting rule: 同一程序只保留一次。换溶液名称、或仅把同类容器换成另一个实例，不单独计数。琥珀色行是缓冲任务：heat_petri_dish_on_hot_plate_and_wait、heat_small_beaker_flask_then_small_beaker_on_hot_plate、incubate_small_beaker_then_stir、incubate_flask_then_shake、heat_tube_over_alcohol_flame_then_return、heat_small_beaker_flask_then_small_beaker_over_alcohol_flame、hot_plate_small_beaker_then_stir、hot_plate_then_water_bath_then_thermometer。删掉这8项后剩余50项。 / Identical programs are counted once. Amber rows are the eight buffer tasks.</t>
  </si>
  <si>
    <t>引擎边界 / Engine boundary: 加热台可以用 press(heat_device) 启动，没有关闭动作。水浴锅没有开关，加水写成 wait_for(water_added_to_water_bath_0)，对应 wait_for(change_type=add_solution)。酒精灯点燃写成 wait_for(alcohol_lamp_lit_0)，对应 wait_for(change_type=Light_the_alcohol_lamp)。温度计是纯模型，insert_to_entity 插入后松开夹爪。wait() 只表示停留，不更新温度或培养状态。成功条件是容器、设备、顺序和夹持或放置关系。 / No temperature value, temperature_reached state, hot-plate off switch, or water-bath power switch is available.</t>
  </si>
  <si>
    <t>技能范围 / Skill scope: pick、place、press、wait、wait_for、drop、moveto_entity、insert_to_entity；缓冲任务额外使用 stir_entity_with_tool 和 shake。酒精灯加热保持夹持，使用 moveto_entity(vessel, alcohol_lamp)，当前目标是灯体中心上方（被抓物体 dz + 8 cm），竖直向下。试管不放加热台。量筒不进入加热任务。固定大烧杯只用于温度计插入。干燥箱、三脚架、磁力加热搅拌不在本表。 / Alcohol-lamp heating keeps the grasp. Tubes are not placed on the hot plate, and graduated cylinders are not heated.</t>
  </si>
  <si>
    <t>论文对应 / Paper mapping: Thermal Control and Incubation 覆盖加热、孵育、温度监测和加热后处理。本表对应 Table S2 的 S14 加热台烧杯、S16 水浴、S17/S49 明火后处理、S18 酒精灯加热、S40 温度计、S48 热容器移到隔热垫。S15 加热磁力搅拌和 S19 干燥箱超出当前技能，未列入。 / Source: SciHorizon-eLab Appendix A, Table S2 scenarios S14, S16, S17, S18, S40, S48, and S49.</t>
  </si>
  <si>
    <t>待确认 / Open checks: (1) 第二种锥形瓶是否已有资产；表中暂记为 conical_flask_0，若只有 flask，可把该项改绑到 flask_0，它与“锥形瓶启动”仍然不同，因为终点包含 wait()。(2) heat_device 和 water_bath 是否都有 place point；水浴锅能否同时放两个容器。(3) 机械臂能否从水浴锅夹出小烧杯和锥形瓶。取出、转移到隔热垫、水浴后再上加热台都依赖这一能力。(4) moveto_entity(alcohol_lamp) 的悬停高度能否作为火焰加热位置；若不能，需要火焰关键点或固定坐标。(5) insulating_mat_0 是否存在且有 place point。没有隔热垫时，转移任务与 drop 取回会变成同一程序，应删除转移项。(6) insert_to_entity 松开后，机械臂能否再次抓取温度计。不能的话，温度计页只保留前3项单次插入。(7) 培养皿放上加热台、试管在酒精灯上加热，是否保留为缓冲项。</t>
  </si>
  <si>
    <t>加热台处理 / heat-device heat</t>
  </si>
  <si>
    <t>12项核心结构，末2项为缓冲；容器放到加热台上，press 启动后保持或取回。加热台没有关闭动作，顺序任务只在第一次放置时 press。 / 12 core structures plus 2 buffer tasks. The heat device has no off action, so later vessels are placed onto an already pressed device.</t>
  </si>
  <si>
    <t>Task name</t>
  </si>
  <si>
    <t>Primary family</t>
  </si>
  <si>
    <t>Instruction</t>
  </si>
  <si>
    <t>entities</t>
  </si>
  <si>
    <t>P: executable program</t>
  </si>
  <si>
    <t>heat_small_beaker_on_heat_device_and_press</t>
  </si>
  <si>
    <t>Thermal control and incubation</t>
  </si>
  <si>
    <t>Place the small beaker containing CuSO4 solution on the heat device and press the heat device.</t>
  </si>
  <si>
    <t>small_beaker_0; heat_device_0; CuSO4_solution_0</t>
  </si>
  <si>
    <t>pick(small_beaker_0) → place(small_beaker_0, heat_device_0) → press(heat_device_0)</t>
  </si>
  <si>
    <t>heat_small_beaker_on_heat_device_and_wait</t>
  </si>
  <si>
    <t>Place the small beaker containing FeCl2 solution on the heat device, press the heat device, and wait for 3 second.</t>
  </si>
  <si>
    <t>small_beaker_0; heat_device_0; FeCl2_solution_0</t>
  </si>
  <si>
    <t>pick(small_beaker_0) → place(small_beaker_0, heat_device_0) → press(heat_device_0) → wait()</t>
  </si>
  <si>
    <t>heat_flask_on_heat_device_and_press</t>
  </si>
  <si>
    <t>Place the flask containing KMnO4 solution on the heat device and press the heat device.</t>
  </si>
  <si>
    <t>flask_0; heat_device_0; KMnO4_solution_0</t>
  </si>
  <si>
    <t>pick(flask_0) → place(flask_0, heat_device_0) → press(heat_device_0)</t>
  </si>
  <si>
    <t>heat_conical_flask_on_heat_device_and_wait</t>
  </si>
  <si>
    <t>Place the conical flask containing CuSO4 solution on the heat device, press the heat device, and wait for 3 second.</t>
  </si>
  <si>
    <t>conical_flask_0; heat_device_0; CuSO4_solution_0</t>
  </si>
  <si>
    <t>pick(conical_flask_0) → place(conical_flask_0, heat_device_0) → press(heat_device_0) → wait()</t>
  </si>
  <si>
    <t>heat_two_small_beakers_on_heat_device_in_order</t>
  </si>
  <si>
    <t>Place the small beaker containing FeCl2 solution on the heat device, press the heat device, and wait for 3 second. Pick up the small beaker and drop it. Then Place the small beaker containing KMnO4 solution on the heat device and wait for 3 second.</t>
  </si>
  <si>
    <t>small_beaker_0; small_beaker_1; heat_device_0; FeCl2_solution_0; KMnO4_solution_1</t>
  </si>
  <si>
    <t>pick(small_beaker_0) → place(small_beaker_0, heat_device_0) → press(heat_device_0) → wait() → pick(small_beaker_0) → drop(small_beaker_0) → pick(small_beaker_1) → place(small_beaker_1, heat_device_0) → wait()</t>
  </si>
  <si>
    <t>heat_two_flasks_on_heat_device_in_order</t>
  </si>
  <si>
    <t>Place the flask containing CuSO4 solution on the heat device, press the heat device, and wait for 3 second. Pick up the flask and drop it. Place the flask containing FeCl2 solution on the heat device and wait for 3 second.</t>
  </si>
  <si>
    <t>flask_0; flask_1; heat_device_0; CuSO4_solution_0; FeCl2_solution_1</t>
  </si>
  <si>
    <t>pick(flask_0) → place(flask_0, heat_device_0) → press(heat_device_0) → wait() → pick(flask_0) → drop(flask_0) → pick(flask_1) → place(flask_1, heat_device_0) → wait()</t>
  </si>
  <si>
    <t>heat_small_beaker_then_flask_on_heat_device</t>
  </si>
  <si>
    <t>Place the small beaker containing KMnO4 solution on the heat device, press the heat device, and wait for 3 second. Pick up the small beaker and drop it. Then Place the flask containing CuSO4 solution on the heat device and wait for 3 second.</t>
  </si>
  <si>
    <t>small_beaker_0; flask_0; heat_device_0; KMnO4_solution_0; CuSO4_solution_1</t>
  </si>
  <si>
    <t>pick(small_beaker_0) → place(small_beaker_0, heat_device_0) → press(heat_device_0) → wait() → pick(small_beaker_0) → drop(small_beaker_0) → pick(flask_0) → place(flask_0, heat_device_0) → wait()</t>
  </si>
  <si>
    <t>heat_flask_then_small_beaker_on_heat_device</t>
  </si>
  <si>
    <t>Place the flask containing FeCl2 solution on the heat device, press the heat device, and wait for 3 second. Pick up the flask and drop it. Then Place the small beaker containing KMnO4 solution on the heat device and wait for 3 second.</t>
  </si>
  <si>
    <t>flask_0; small_beaker_0; heat_device_0; FeCl2_solution_0; KMnO4_solution_1</t>
  </si>
  <si>
    <t>pick(flask_0) → place(flask_0, heat_device_0) → press(heat_device_0) → wait() → pick(flask_0) → drop(flask_0) → pick(small_beaker_0) → place(small_beaker_0, heat_device_0) → wait()</t>
  </si>
  <si>
    <t>heat_small_beaker_on_heat_device_then_retrieve</t>
  </si>
  <si>
    <t>Place the small beaker containing CuSO4 solution on the heat device, press the heat device, and wait for 3 second. Pick up the small beaker and drop it.</t>
  </si>
  <si>
    <t>pick(small_beaker_0) → place(small_beaker_0, heat_device_0) → press(heat_device_0) → wait() → pick(small_beaker_0) → drop(small_beaker_0)</t>
  </si>
  <si>
    <t>heat_flask_on_heat_device_then_retrieve</t>
  </si>
  <si>
    <t>Place the flask containing FeCl2 solution on the heat device, press the heat device, and wait for 3 second. Pick up the flask and drop it.</t>
  </si>
  <si>
    <t>flask_0; heat_device_0; FeCl2_solution_0</t>
  </si>
  <si>
    <t>pick(flask_0) → place(flask_0, heat_device_0) → press(heat_device_0) → wait() → pick(flask_0) → drop(flask_0)</t>
  </si>
  <si>
    <t>heat_small_beaker_on_heat_device_then_transfer</t>
  </si>
  <si>
    <t>Place the small beaker containing KMnO4 solution on the heat device, press heat, wait, then move the beaker onto the mat.</t>
  </si>
  <si>
    <t>small_beaker_0; heat_device_0; insulating_mat_0; KMnO4_solution_0</t>
  </si>
  <si>
    <t>pick(small_beaker_0) → place(small_beaker_0, heat_device_0) → press(heat_device_0) → wait() → pick(small_beaker_0) → place(small_beaker_0, insulating_mat_0)</t>
  </si>
  <si>
    <t>heat_flask_on_heat_device_then_transfer</t>
  </si>
  <si>
    <t>Place the flask containing CuSO4 solution on the heat device, press heat, wait, then move the flask onto the mat.</t>
  </si>
  <si>
    <t>flask_0; heat_device_0; insulating_mat_0; CuSO4_solution_0</t>
  </si>
  <si>
    <t>pick(flask_0) → place(flask_0, heat_device_0) → press(heat_device_0) → wait() → pick(flask_0) → place(flask_0, insulating_mat_0)</t>
  </si>
  <si>
    <t>heat_petri_dish_on_heat_device_and_wait</t>
  </si>
  <si>
    <t>Place the petri dish on the heat device, press the heat device.</t>
  </si>
  <si>
    <t>petri_dish_0; heat_device_0</t>
  </si>
  <si>
    <t>pick(petri_dish_0) → place(petri_dish_0, heat_device_0) → press(heat_device_0) → wait()</t>
  </si>
  <si>
    <t>10项核心结构，末2项为缓冲。水浴锅没有开关；人工加水是触发事件，不检测水位。水浴锅一次只能放一个容器，两个容器要先放入一个，取出后再放入下一个。 / 10 core structures plus 2 buffer tasks. Adding water is an external trigger. The water bath holds one vessel at a time, so the first vessel is removed before the next one is placed.</t>
  </si>
  <si>
    <t>wait_add_water_then_place_small_beaker</t>
  </si>
  <si>
    <t>Wait until a human adds water to the water bath. Place the small beaker containing CuSO4 solution in the water bath.</t>
  </si>
  <si>
    <t>water_bath_0; small_beaker_0; CuSO4_solution_0; human_water_addition_0</t>
  </si>
  <si>
    <t>wait_for(water_added_to_water_bath_0) → pick(small_beaker_0) → place(small_beaker_0, water_bath_0)</t>
  </si>
  <si>
    <t>wait_add_water_then_place_flask</t>
  </si>
  <si>
    <t>Wait until a human adds water to the water bath. Place the flask containing FeCl2 solution in the water bath.</t>
  </si>
  <si>
    <t>water_bath_0; flask_0; FeCl2_solution_0; human_water_addition_0</t>
  </si>
  <si>
    <t>wait_for(water_added_to_water_bath_0) → pick(flask_0) → place(flask_0, water_bath_0)</t>
  </si>
  <si>
    <t>incubate_small_beaker_in_water_bath</t>
  </si>
  <si>
    <t>Wait until a human adds water to the water bath. Place the small beaker containing KMnO4 solution in the water bath and wait for 3 seconds.</t>
  </si>
  <si>
    <t>water_bath_0; small_beaker_0; KMnO4_solution_0; human_water_addition_0</t>
  </si>
  <si>
    <t>wait_for(water_added_to_water_bath_0) → pick(small_beaker_0) → place(small_beaker_0, water_bath_0) → wait()</t>
  </si>
  <si>
    <t>incubate_flask_in_water_bath</t>
  </si>
  <si>
    <t>Wait until a human adds water to the water bath. Place the flask containing CuSO4 solution in the water bath and wait for 3 seconds.</t>
  </si>
  <si>
    <t>water_bath_0; flask_0; CuSO4_solution_0; human_water_addition_0</t>
  </si>
  <si>
    <t>wait_for(water_added_to_water_bath_0) → pick(flask_0) → place(flask_0, water_bath_0) → wait()</t>
  </si>
  <si>
    <t>incubate_two_small_beakers_in_water_bath</t>
  </si>
  <si>
    <t>Wait until a human adds water to the water bath. Place the small beaker containing FeCl2 solution in the water bath and wait for 3 seconds and pick it out then drop it. Then place the small beaker containing KMnO4 solution in the water bath and wait for 3 seconds.</t>
  </si>
  <si>
    <t>water_bath_0; small_beaker_0; small_beaker_1; FeCl2_solution_0; KMnO4_solution_1; human_water_addition_0</t>
  </si>
  <si>
    <t>wait_for(water_added_to_water_bath_0) → pick(small_beaker_0) → place(small_beaker_0, water_bath_0) → wait() → pick(small_beaker_0) → drop(small_beaker_0) → pick(small_beaker_1) → place(small_beaker_1, water_bath_0) → wait()</t>
  </si>
  <si>
    <t>incubate_two_flasks_in_water_bath</t>
  </si>
  <si>
    <t>Wait until a human adds water to the water bath. Place the flask containing CuSO4 solution in the water bath and wait for 3 seconds and pick it out then drop it. Then place the flask containing FeCl2 solution in the water bath and wait for 3 seconds.</t>
  </si>
  <si>
    <t>water_bath_0; flask_0; flask_1; CuSO4_solution_0; FeCl2_solution_1; human_water_addition_0</t>
  </si>
  <si>
    <t>wait_for(water_added_to_water_bath_0) → pick(flask_0) → place(flask_0, water_bath_0) → wait() → pick(flask_0) → drop(flask_0) → pick(flask_1) → place(flask_1, water_bath_0) → wait()</t>
  </si>
  <si>
    <t>incubate_small_beaker_then_retrieve</t>
  </si>
  <si>
    <t>Wait until a human adds water to the water bath. Place the small beaker containing KMnO4 solution in the water bath and wait for 3 seconds and pick it out then drop it.</t>
  </si>
  <si>
    <t>wait_for(water_added_to_water_bath_0) → pick(small_beaker_0) → place(small_beaker_0, water_bath_0) → wait() → pick(small_beaker_0) → drop(small_beaker_0)</t>
  </si>
  <si>
    <t>incubate_flask_then_retrieve</t>
  </si>
  <si>
    <t>Wait until a human adds water to the water bath. Place the flask containing CuSO4 solution in the water bath and wait for 3 seconds and pick it out then drop it.</t>
  </si>
  <si>
    <t>wait_for(water_added_to_water_bath_0) → pick(flask_0) → place(flask_0, water_bath_0) → wait() → pick(flask_0) → drop(flask_0)</t>
  </si>
  <si>
    <t>incubate_small_beaker_then_transfer</t>
  </si>
  <si>
    <t>Wait until a human adds water to the water bath. Incubate the small beaker containing FeCl2 solution, then move it onto the square mat.</t>
  </si>
  <si>
    <t>water_bath_0; small_beaker_0; insulating_mat_0; FeCl2_solution_0; human_water_addition_0</t>
  </si>
  <si>
    <t>wait_for(water_added_to_water_bath_0) → pick(small_beaker_0) → place(small_beaker_0, water_bath_0) → wait() → pick(small_beaker_0) → place(small_beaker_0, insulating_mat_0)</t>
  </si>
  <si>
    <t>incubate_flask_then_transfer</t>
  </si>
  <si>
    <t>Wait until a human adds water to the water bath. Place the flask containing KMnO4 solution in the water bath and wait for 3 seconds, then pick it out and place it on the square mat.</t>
  </si>
  <si>
    <t>water_bath_0; flask_0; insulating_mat_0; KMnO4_solution_0; human_water_addition_0</t>
  </si>
  <si>
    <t>wait_for(water_added_to_water_bath_0) → pick(flask_0) → place(flask_0, water_bath_0) → wait() → pick(flask_0) → place(flask_0, insulating_mat_0)</t>
  </si>
  <si>
    <t>incubate_small_beaker_then_stir</t>
  </si>
  <si>
    <t>Wait until a human adds water to the water bath. Place the small beaker containing CuSO4 solution in the water bath and wait for 3 seconds, then stir the solution with the glass stirring rod.</t>
  </si>
  <si>
    <t>water_bath_0; small_beaker_0; glass_rod_0; CuSO4_solution_0; human_water_addition_0</t>
  </si>
  <si>
    <t>wait_for(water_added_to_water_bath_0) → pick(small_beaker_0) → place(small_beaker_0, water_bath_0) → wait() → pick(glass_rod_0) → stir_entity_with_tool(glass_rod_0, small_beaker_0) → place(glass_rod_0)</t>
  </si>
  <si>
    <t>8项结构。温度计不返回数值，也不产生 temperature_reached。插入后夹爪会松开，温度计留在容器中；后5项需要再次抓取温度计。加热或水浴之后的插入放在多设备页。 / 8 structures. The thermometer returns no reading. Insertion releases the gripper. The last five tasks grasp the thermometer again.</t>
  </si>
  <si>
    <t>insert_thermometer_into_small_beaker</t>
  </si>
  <si>
    <t>Insert the thermometer into the small beaker containing CuSO4 solution.</t>
  </si>
  <si>
    <t>thermometer_0; small_beaker_0; CuSO4_solution_0</t>
  </si>
  <si>
    <t>pick(thermometer_0) → insert_to_entity(thermometer_0, small_beaker_0)</t>
  </si>
  <si>
    <t>insert_thermometer_into_flask</t>
  </si>
  <si>
    <t>Insert the thermometer into the flask containing FeCl2 solution.</t>
  </si>
  <si>
    <t>thermometer_0; flask_0; FeCl2_solution_0</t>
  </si>
  <si>
    <t>pick(thermometer_0) → insert_to_entity(thermometer_0, flask_0)</t>
  </si>
  <si>
    <t>insert_thermometer_into_large_beaker</t>
  </si>
  <si>
    <t>Insert the thermometer into the fixed large beaker containing KMnO4 solution.</t>
  </si>
  <si>
    <t>thermometer_0; large_beaker_0; KMnO4_solution_0</t>
  </si>
  <si>
    <t>pick(thermometer_0) → insert_to_entity(thermometer_0, large_beaker_0)</t>
  </si>
  <si>
    <t>insert_thermometer_into_two_small_beakers</t>
  </si>
  <si>
    <t>Insert the thermometer into the small beaker containing CuSO4 solution, then pick it up and insert it into the other small beaker containing FeCl2 solution.</t>
  </si>
  <si>
    <t>thermometer_0; small_beaker_0; small_beaker_1; CuSO4_solution_0; FeCl2_solution_1</t>
  </si>
  <si>
    <t>pick(thermometer_0) → insert_to_entity(thermometer_0, small_beaker_0) → pick(thermometer_0) → insert_to_entity(thermometer_0, small_beaker_1)</t>
  </si>
  <si>
    <t>insert_thermometer_into_small_beaker_then_flask</t>
  </si>
  <si>
    <t>Insert the thermometer into the small beaker containing KMnO4 solution, then pick it up and insert it into the flask containing CuSO4 solution.</t>
  </si>
  <si>
    <t>thermometer_0; small_beaker_0; flask_0; KMnO4_solution_0; CuSO4_solution_1</t>
  </si>
  <si>
    <t>pick(thermometer_0) → insert_to_entity(thermometer_0, small_beaker_0) → pick(thermometer_0) → insert_to_entity(thermometer_0, flask_0)</t>
  </si>
  <si>
    <t>insert_thermometer_into_two_flasks</t>
  </si>
  <si>
    <t>Insert the thermometer into the flask containing FeCl2 solution, pick it up and insert it into the other flask containing KMnO4 solution.</t>
  </si>
  <si>
    <t>thermometer_0; flask_0; flask_1; FeCl2_solution_0; KMnO4_solution_1</t>
  </si>
  <si>
    <t>pick(thermometer_0) → insert_to_entity(thermometer_0, flask_0) → pick(thermometer_0) → insert_to_entity(thermometer_0, flask_1)</t>
  </si>
  <si>
    <t>insert_thermometer_into_small_beaker_then_retrieve</t>
  </si>
  <si>
    <t>Insert the thermometer into the small beaker containing CuSO4 solution, wait for 3 seconds and pick the thermometer out and drop it.</t>
  </si>
  <si>
    <t>pick(thermometer_0) → insert_to_entity(thermometer_0, small_beaker_0) → pick(thermometer_0) → drop(thermometer_0)</t>
  </si>
  <si>
    <t>insert_thermometer_into_large_beaker_then_retrieve</t>
  </si>
  <si>
    <t>Insert the thermometer into the large beaker containing FeCl2 solution, wait for 3 seconds and pick the thermometer out and drop it.</t>
  </si>
  <si>
    <t>thermometer_0; large_beaker_0; FeCl2_solution_0</t>
  </si>
  <si>
    <t>pick(thermometer_0) → insert_to_entity(thermometer_0, large_beaker_0) → pick(thermometer_0) → drop(thermometer_0)</t>
  </si>
  <si>
    <t>10项核心结构，末2项为缓冲。酒精灯只能由人工点燃；加热时机械臂持续夹持容器，程序使用 moveto_entity，不使用 place。 / 10 core structures plus 2 buffer tasks. The lamp is lit by a human. The arm keeps picking the vessel; heating uses moveto_entity, not place.</t>
  </si>
  <si>
    <t>wait_light_then_pick_small_beaker</t>
  </si>
  <si>
    <t>Wait until a human lights the alcohol lamp, then pick up the small beaker containing CuSO4 solution.</t>
  </si>
  <si>
    <t>alcohol_lamp_0; small_beaker_0; CuSO4_solution_0; human_lamp_ignition_0</t>
  </si>
  <si>
    <t>wait_for(alcohol_lamp_lit_0) → pick(small_beaker_0)</t>
  </si>
  <si>
    <t>wait_light_then_pick_flask</t>
  </si>
  <si>
    <t>Wait until a human lights the alcohol lamp, then pick up the flask containing FeCl2 solution.</t>
  </si>
  <si>
    <t>alcohol_lamp_0; flask_0; FeCl2_solution_0; human_lamp_ignition_0</t>
  </si>
  <si>
    <t>wait_for(alcohol_lamp_lit_0) → pick(flask_0)</t>
  </si>
  <si>
    <t>pick_small_beaker_over_alcohol_flame</t>
  </si>
  <si>
    <t>Wait until a human lights the alcohol lamp. Pick up the small beaker containing KMnO4 solution and heat it with the alcohol lamp.</t>
  </si>
  <si>
    <t>alcohol_lamp_0; small_beaker_0; KMnO4_solution_0; human_lamp_ignition_0</t>
  </si>
  <si>
    <t>wait_for(alcohol_lamp_lit_0) → pick(small_beaker_0) → moveto_entity(small_beaker_0, alcohol_lamp_0) → wait()</t>
  </si>
  <si>
    <t>pick_flask_over_alcohol_flame</t>
  </si>
  <si>
    <t>Wait until a human lights the alcohol lamp. Pick up the flask containing CuSO4 solution and heat it with the alcohol lamp.</t>
  </si>
  <si>
    <t>alcohol_lamp_0; flask_0; CuSO4_solution_0; human_lamp_ignition_0</t>
  </si>
  <si>
    <t>wait_for(alcohol_lamp_lit_0) → pick(flask_0) → moveto_entity(flask_0, alcohol_lamp_0) → wait()</t>
  </si>
  <si>
    <t>heat_two_small_beakers_over_alcohol_flame</t>
  </si>
  <si>
    <t>Wait until a human lights the alcohol lamp. pick the small beaker containing FeCl2 solution. Then heat it with the alcohol lamp. Then drop it. Pick the other small beaker containing KMnO4 solution and heat it with the alcohol lamp.</t>
  </si>
  <si>
    <t>alcohol_lamp_0; small_beaker_0; small_beaker_1; FeCl2_solution_0; KMnO4_solution_1; human_lamp_ignition_0</t>
  </si>
  <si>
    <t>wait_for(alcohol_lamp_lit_0) → pick(small_beaker_0) → moveto_entity(small_beaker_0, alcohol_lamp_0) → wait() → drop(small_beaker_0) → pick(small_beaker_1) → moveto_entity(small_beaker_1, alcohol_lamp_0) → wait() → drop(small_beaker_1)</t>
  </si>
  <si>
    <t>heat_two_flasks_over_alcohol_flame</t>
  </si>
  <si>
    <t>Wait until a human lights the alcohol lamp. Pick the flask containing CuSO4 solution . Then heat it with the alcohol lamp. Then drop it. Then pick the other flask containing FeCl2 solution above the flame.</t>
  </si>
  <si>
    <t>alcohol_lamp_0; flask_0; flask_1; CuSO4_solution_0; FeCl2_solution_1; human_lamp_ignition_0</t>
  </si>
  <si>
    <t>wait_for(alcohol_lamp_lit_0) → pick(flask_0) → moveto_entity(flask_0, alcohol_lamp_0) → wait() → drop(flask_0) → pick(flask_1) → moveto_entity(flask_1, alcohol_lamp_0) → wait() → drop(flask_1)</t>
  </si>
  <si>
    <t>heat_small_beaker_then_flask_over_alcohol_flame</t>
  </si>
  <si>
    <t>Wait until a human lights the alcohol lamp. Pick the small beaker containing KMnO4 solution. Then heat it with the alcohol lamp. Then drop it. Then pick the flask containing CuSO4 solution and heat it with the alcohol lamp. Then drop it. .</t>
  </si>
  <si>
    <t>alcohol_lamp_0; small_beaker_0; flask_0; KMnO4_solution_0; CuSO4_solution_1; human_lamp_ignition_0</t>
  </si>
  <si>
    <t>wait_for(alcohol_lamp_lit_0) → pick(small_beaker_0) → moveto_entity(small_beaker_0, alcohol_lamp_0) → wait() → drop(small_beaker_0) → pick(flask_0) → moveto_entity(flask_0, alcohol_lamp_0) → wait() → drop(flask_0)</t>
  </si>
  <si>
    <t>heat_flask_then_small_beaker_over_alcohol_flame</t>
  </si>
  <si>
    <t xml:space="preserve">Wait until a human lights the alcohol lamp. Pick the flask containing FeCl2 solution. Then heat it with the alcohol lamp. Then drop it. Pick the small beaker containing KMnO4 solution and heat it with the alcohol lamp. Then drop it. </t>
  </si>
  <si>
    <t>alcohol_lamp_0; flask_0; small_beaker_0; FeCl2_solution_0; KMnO4_solution_1; human_lamp_ignition_0</t>
  </si>
  <si>
    <t>wait_for(alcohol_lamp_lit_0) → pick(flask_0) → moveto_entity(flask_0, alcohol_lamp_0) → wait() → drop(flask_0) → pick(small_beaker_0) → moveto_entity(small_beaker_0, alcohol_lamp_0) → wait() → drop(small_beaker_0)</t>
  </si>
  <si>
    <t>heat_small_beaker_over_alcohol_flame</t>
  </si>
  <si>
    <t xml:space="preserve">Wait until a human lights the alcohol lamp.Pick the small beaker containing CuSO4 solution. Then heat it with the alcohol lamp. Then drop it. </t>
  </si>
  <si>
    <t>wait_for(alcohol_lamp_lit_0) → pick(small_beaker_0) → moveto_entity(small_beaker_0, alcohol_lamp_0) → wait() → drop(small_beaker_0)</t>
  </si>
  <si>
    <t>heat_tube_over_alcohol_flame_then_return</t>
  </si>
  <si>
    <t>Wait until a human lights the alcohol lamp. Pick up the tube containing KMnO4 solution, . heat it with the alcohol lamp, then insert it back into the tube stand.</t>
  </si>
  <si>
    <t>alcohol_lamp_0; chemistry_tube_0; tube_rack_0; KMnO4_solution_0; human_lamp_ignition_0</t>
  </si>
  <si>
    <t>wait_for(alcohol_lamp_lit_0) → pick(chemistry_tube_0) → moveto_entity(chemistry_tube_0, alcohol_lamp_0) → wait() → insert_to_entity(chemistry_tube_0, tube_rack_0)</t>
  </si>
  <si>
    <t>heat_small_beaker_flask_then_small_beaker_over_alcohol_flame</t>
  </si>
  <si>
    <t xml:space="preserve">Wait until a human lights the alcohol lamp. Heat three vessels with the alcohol lamp in this order: the small beaker containing CuSO4 solution, the flask containing FeCl2 solution, then the other small beaker containing KMnO4 solution. </t>
  </si>
  <si>
    <t>alcohol_lamp_0; small_beaker_0; flask_0; small_beaker_1; CuSO4_solution_0; FeCl2_solution_1; KMnO4_solution_2; human_lamp_ignition_0</t>
  </si>
  <si>
    <t>wait_for(alcohol_lamp_lit_0) → pick(small_beaker_0) → moveto_entity(small_beaker_0, alcohol_lamp_0) → wait() → drop(small_beaker_0) → pick(flask_0) → moveto_entity(flask_0, alcohol_lamp_0) → wait() → drop(flask_0) → pick(small_beaker_1) → moveto_entity(small_beaker_1, alcohol_lamp_0) → wait() → drop(small_beaker_1)</t>
  </si>
  <si>
    <t>10项核心结构，末2项为缓冲。评价设备选择、设备顺序、容器与设备的匹配，以及前一阶段完成后再进入下一阶段。 / 10 core structures plus 2 buffer tasks. Success depends on device choice, device order, and vessel-device matching.</t>
  </si>
  <si>
    <t>heat_device_small_beaker_then_insert_thermometer</t>
  </si>
  <si>
    <t>Place the small beaker containing CuSO4 solution on the heat device and press the heat device. Wait for 3 seconds, then insert the thermometer into the small beaker.</t>
  </si>
  <si>
    <t>small_beaker_0; heat_device_0; thermometer_0; CuSO4_solution_0</t>
  </si>
  <si>
    <t>pick(small_beaker_0) → place(small_beaker_0, heat_device_0) → press(heat_device_0) → wait() → pick(thermometer_0) → insert_to_entity(thermometer_0, small_beaker_0)</t>
  </si>
  <si>
    <t>water_bath_small_beaker_then_insert_thermometer</t>
  </si>
  <si>
    <t>Wait until a human adds water to the water bath. Place the small beaker containing FeCl2 solution in the water bath, then insert the thermometer into the small beaker.</t>
  </si>
  <si>
    <t>water_bath_0; small_beaker_0; thermometer_0; FeCl2_solution_0; human_water_addition_0</t>
  </si>
  <si>
    <t>wait_for(water_added_to_water_bath_0) → pick(small_beaker_0) → place(small_beaker_0, water_bath_0) → wait() → pick(thermometer_0) → insert_to_entity(thermometer_0, small_beaker_0)</t>
  </si>
  <si>
    <t>alcohol_lamp_small_beaker_then_insert_thermometer</t>
  </si>
  <si>
    <t>Wait until a human lights the alcohol lamp. Heat the small beaker containing KMnO4 solution with the alcohol lamp,  drop it, then insert the thermometer into the small beaker.</t>
  </si>
  <si>
    <t>alcohol_lamp_0; small_beaker_0; thermometer_0; KMnO4_solution_0; human_lamp_ignition_0</t>
  </si>
  <si>
    <t>wait_for(alcohol_lamp_lit_0) → pick(small_beaker_0) → moveto_entity(small_beaker_0, alcohol_lamp_0) → wait() → drop(small_beaker_0) → pick(thermometer_0) → insert_to_entity(thermometer_0, small_beaker_0)</t>
  </si>
  <si>
    <t>insert_thermometer_then_heat_device_small_beaker</t>
  </si>
  <si>
    <t>Insert the thermometer into the small beaker containing CuSO4 solution, wait for 3 seconds. pick  the thermometer and drop it, then place the small beaker on the heat device and press the heat device.</t>
  </si>
  <si>
    <t>thermometer_0; small_beaker_0; heat_device_0; CuSO4_solution_0</t>
  </si>
  <si>
    <t>pick(thermometer_0) → insert_to_entity(thermometer_0, small_beaker_0) → pick(thermometer_0) → drop(thermometer_0) → pick(small_beaker_0) → place(small_beaker_0, heat_device_0) → press(heat_device_0) → wait()</t>
  </si>
  <si>
    <t>insert_thermometer_then_water_bath_small_beaker</t>
  </si>
  <si>
    <t>Insert the thermometer into the small beaker containing FeCl2 solution. Wait until a human adds water to the water bath, then place the small beaker in the water bath.</t>
  </si>
  <si>
    <t>thermometer_0; small_beaker_0; water_bath_0; FeCl2_solution_0; human_water_addition_0</t>
  </si>
  <si>
    <t>pick(thermometer_0) → insert_to_entity(thermometer_0, small_beaker_0) → pick(thermometer_0) → drop(thermometer_0) → wait_for(water_added_to_water_bath_0) → pick(small_beaker_0) → place(small_beaker_0, water_bath_0) → wait()</t>
  </si>
  <si>
    <t>heat_device_then_water_bath_small_beaker</t>
  </si>
  <si>
    <t>Place the small beaker containing KMnO4 solution on the heat device and press the heat device. Wait until a human adds water to the water bath, then move the small beaker into the water bath.</t>
  </si>
  <si>
    <t>small_beaker_0; heat_device_0; water_bath_0; KMnO4_solution_0; human_water_addition_0</t>
  </si>
  <si>
    <t>pick(small_beaker_0) → place(small_beaker_0, heat_device_0) → press(heat_device_0) → wait() → wait_for(water_added_to_water_bath_0) → pick(small_beaker_0) → place(small_beaker_0, water_bath_0) → wait()</t>
  </si>
  <si>
    <t>water_bath_then_heat_device_small_beaker</t>
  </si>
  <si>
    <t>Wait until a human adds water to the water bath and place the small beaker containing CuSO4 solution into the water bath. Then take the beaker out, place it on the heat device, and press the heat device.</t>
  </si>
  <si>
    <t>small_beaker_0; water_bath_0; heat_device_0; CuSO4_solution_0; human_water_addition_0</t>
  </si>
  <si>
    <t>wait_for(water_added_to_water_bath_0) → pick(small_beaker_0) → place(small_beaker_0, water_bath_0) → wait() → pick(small_beaker_0) → place(small_beaker_0, heat_device_0) → press(heat_device_0) → wait()</t>
  </si>
  <si>
    <t>heat_device_small_beaker_and_water_bath_flask</t>
  </si>
  <si>
    <t>Place the small beaker containing FeCl2 solution on the heat device and press the heat device. Wait until a human adds water to the water bath, then place the flask containing KMnO4 solution in the water bath.</t>
  </si>
  <si>
    <t>small_beaker_0; heat_device_0; flask_0; water_bath_0; FeCl2_solution_0; KMnO4_solution_1; human_water_addition_0</t>
  </si>
  <si>
    <t>pick(small_beaker_0) → place(small_beaker_0, heat_device_0) → press(heat_device_0) → wait() → wait_for(water_added_to_water_bath_0) → pick(flask_0) → place(flask_0, water_bath_0) → wait()</t>
  </si>
  <si>
    <t>heat_device_small_beaker_and_alcohol_lamp_flask</t>
  </si>
  <si>
    <t>Place the small beaker containing CuSO4 solution on the heat device and press the heat device. Wait until a human lights the alcohol lamp, then pick the flask containing FeCl2 solution and heat it with the alcohol lamp.</t>
  </si>
  <si>
    <t>small_beaker_0; heat_device_0; flask_0; alcohol_lamp_0; CuSO4_solution_0; FeCl2_solution_1; human_lamp_ignition_0</t>
  </si>
  <si>
    <t>pick(small_beaker_0) → place(small_beaker_0, heat_device_0) → press(heat_device_0) → wait() → wait_for(alcohol_lamp_lit_0) → pick(flask_0) → moveto_entity(flask_0, alcohol_lamp_0) → wait() → drop(flask_0)</t>
  </si>
  <si>
    <t>finish_heat_device_small_beaker_then_alcohol_heat_flask</t>
  </si>
  <si>
    <t>Place the small beaker containing KMnO4 solution on the heat device, press the heat device, then move the beaker off the heat device and drop it. Wait until a human lights the alcohol lamp, pick  the flask containing CuSO4 solution and heat it with alcohol lamp.</t>
  </si>
  <si>
    <t>small_beaker_0; heat_device_0; flask_0; alcohol_lamp_0; KMnO4_solution_0; CuSO4_solution_1; human_lamp_ignition_0</t>
  </si>
  <si>
    <t>pick(small_beaker_0) → place(small_beaker_0, heat_device_0) → press(heat_device_0) → wait() → pick(small_beaker_0) → drop(small_beaker_0) → wait_for(alcohol_lamp_lit_0) → pick(flask_0) → moveto_entity(flask_0, alcohol_lamp_0) → wait() → drop(flask_0)</t>
  </si>
  <si>
    <t>heat_device_small_beaker_then_stir</t>
  </si>
  <si>
    <t>Place the small beaker containing FeCl2 solution on the heat device and press the  heat device. Then pick the glass stirring rod and stir the contents of the small beaker.</t>
  </si>
  <si>
    <t>small_beaker_0; heat_device_0; glass_rod_0; FeCl2_solution_0</t>
  </si>
  <si>
    <t>pick(small_beaker_0) → place(small_beaker_0, heat_device_0) → press(heat_device_0) → wait() → pick(glass_rod_0) → stir_entity_with_tool(glass_rod_0, small_beaker_0) → place(glass_rod_0)</t>
  </si>
  <si>
    <t>heat_device_then_water_bath_then_thermometer</t>
  </si>
  <si>
    <t>Place the small beaker containing KMnO4 solution on the heat device and pressthe  heat device. Wait until a human adds water to the water bath, place the beaker into the water bath, then insert the thermometer into the small beaker.</t>
  </si>
  <si>
    <t>small_beaker_0; heat_device_0; water_bath_0; thermometer_0; KMnO4_solution_0; human_water_addition_0</t>
  </si>
  <si>
    <t>pick(small_beaker_0) → place(small_beaker_0, heat_device_0) → press(heat_device_0) → wait() → wait_for(water_added_to_water_bath_0) → pick(small_beaker_0) → place(small_beaker_0, water_bath_0) → wait() → pick(thermometer_0) → insert_to_entity(thermometer_0, small_beaker_0)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</si>
</sst>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rgb="FFFFFFFF"/>
      <name val="Carlito"/>
      <charset val="134"/>
    </font>
    <font>
      <sz val="11"/>
      <color rgb="FF17324D"/>
      <name val="Carlito"/>
      <charset val="134"/>
    </font>
    <font>
      <b/>
      <sz val="11"/>
      <color rgb="FFFFFFFF"/>
      <name val="Carlito"/>
      <charset val="134"/>
    </font>
    <font>
      <sz val="11"/>
      <color rgb="FF1F2933"/>
      <name val="Carlito"/>
      <charset val="134"/>
    </font>
    <font>
      <sz val="10"/>
      <color rgb="FF1F2933"/>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7324D"/>
        <bgColor indexed="64"/>
      </patternFill>
    </fill>
    <fill>
      <patternFill patternType="solid">
        <fgColor rgb="FFDCEAF3"/>
        <bgColor indexed="64"/>
      </patternFill>
    </fill>
    <fill>
      <patternFill patternType="solid">
        <fgColor rgb="FF176B73"/>
        <bgColor indexed="64"/>
      </patternFill>
    </fill>
    <fill>
      <patternFill patternType="solid">
        <fgColor rgb="FFD8F0F7"/>
        <bgColor indexed="64"/>
      </patternFill>
    </fill>
    <fill>
      <patternFill patternType="solid">
        <fgColor rgb="FFFFFFFF"/>
        <bgColor indexed="64"/>
      </patternFill>
    </fill>
    <fill>
      <patternFill patternType="solid">
        <fgColor rgb="FFFFF4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0D7DE"/>
      </left>
      <right style="thin">
        <color rgb="FFD0D7DE"/>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8"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9" borderId="7">
      <alignment vertical="center"/>
    </xf>
    <xf numFmtId="0" fontId="15" fillId="10" borderId="8">
      <alignment vertical="center"/>
    </xf>
    <xf numFmtId="0" fontId="16" fillId="10" borderId="7">
      <alignment vertical="center"/>
    </xf>
    <xf numFmtId="0" fontId="17" fillId="11" borderId="9">
      <alignment vertical="center"/>
    </xf>
    <xf numFmtId="0" fontId="18" fillId="0" borderId="10">
      <alignment vertical="center"/>
    </xf>
    <xf numFmtId="0" fontId="19" fillId="0" borderId="11">
      <alignment vertical="center"/>
    </xf>
    <xf numFmtId="0" fontId="20" fillId="12" borderId="0">
      <alignment vertical="center"/>
    </xf>
    <xf numFmtId="0" fontId="21" fillId="13" borderId="0">
      <alignment vertical="center"/>
    </xf>
    <xf numFmtId="0" fontId="22"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xf numFmtId="0" fontId="23" fillId="35" borderId="0">
      <alignment vertical="center"/>
    </xf>
    <xf numFmtId="0" fontId="24" fillId="36" borderId="0">
      <alignment vertical="center"/>
    </xf>
    <xf numFmtId="0" fontId="24" fillId="37" borderId="0">
      <alignment vertical="center"/>
    </xf>
    <xf numFmtId="0" fontId="23" fillId="38" borderId="0">
      <alignment vertical="center"/>
    </xf>
  </cellStyleXfs>
  <cellXfs count="17">
    <xf numFmtId="0" fontId="0" fillId="0" borderId="0" xfId="0"/>
    <xf numFmtId="0" fontId="1" fillId="2" borderId="1" xfId="0" applyFont="1" applyFill="1" applyBorder="1" applyAlignment="1">
      <alignment horizontal="left" vertical="center" wrapText="1"/>
    </xf>
    <xf numFmtId="0" fontId="0" fillId="0" borderId="2" xfId="0" applyBorder="1"/>
    <xf numFmtId="0" fontId="0" fillId="0" borderId="3" xfId="0" applyBorder="1"/>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7"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24D"/>
    <pageSetUpPr fitToPage="1"/>
  </sheetPr>
  <dimension ref="A1:E16"/>
  <sheetViews>
    <sheetView showGridLines="0" zoomScale="110" zoomScaleNormal="110" workbookViewId="0">
      <pane ySplit="4" topLeftCell="A5" activePane="bottomLeft" state="frozen"/>
      <selection/>
      <selection pane="bottomLeft" activeCell="A1" sqref="A1:E1"/>
    </sheetView>
  </sheetViews>
  <sheetFormatPr defaultColWidth="9" defaultRowHeight="14.4" outlineLevelCol="4"/>
  <cols>
    <col min="1" max="1" width="78" customWidth="1"/>
    <col min="2" max="2" width="28" customWidth="1"/>
    <col min="3" max="3" width="24" customWidth="1"/>
    <col min="4" max="4" width="32" customWidth="1"/>
    <col min="5" max="5" width="18" customWidth="1"/>
  </cols>
  <sheetData>
    <row r="1" ht="30" customHeight="1" spans="1:5">
      <c r="A1" s="1" t="s">
        <v>0</v>
      </c>
      <c r="B1" s="2"/>
      <c r="C1" s="2"/>
      <c r="D1" s="2"/>
      <c r="E1" s="3"/>
    </row>
    <row r="2" ht="48" customHeight="1" spans="1:5">
      <c r="A2" s="4" t="s">
        <v>1</v>
      </c>
      <c r="B2" s="2"/>
      <c r="C2" s="2"/>
      <c r="D2" s="2"/>
      <c r="E2" s="3"/>
    </row>
    <row r="3" ht="10" customHeight="1"/>
    <row r="4" ht="30" customHeight="1" spans="1:5">
      <c r="A4" s="5" t="s">
        <v>2</v>
      </c>
      <c r="B4" s="5" t="s">
        <v>3</v>
      </c>
      <c r="C4" s="5" t="s">
        <v>4</v>
      </c>
      <c r="D4" s="5" t="s">
        <v>5</v>
      </c>
      <c r="E4" s="5" t="s">
        <v>6</v>
      </c>
    </row>
    <row r="5" ht="28" customHeight="1" spans="1:5">
      <c r="A5" s="10" t="s">
        <v>7</v>
      </c>
      <c r="B5" s="11">
        <f>COUNTA(加热台处理!A5:A17)</f>
        <v>13</v>
      </c>
      <c r="C5" s="11">
        <v>2</v>
      </c>
      <c r="D5" s="11">
        <v>0</v>
      </c>
      <c r="E5" s="11">
        <f>B5</f>
        <v>13</v>
      </c>
    </row>
    <row r="6" ht="28" customHeight="1" spans="1:5">
      <c r="A6" s="12" t="s">
        <v>8</v>
      </c>
      <c r="B6" s="13">
        <f>COUNTA(水浴处理!A5:A15)</f>
        <v>11</v>
      </c>
      <c r="C6" s="13">
        <v>2</v>
      </c>
      <c r="D6" s="13">
        <v>12</v>
      </c>
      <c r="E6" s="13">
        <f>B6</f>
        <v>11</v>
      </c>
    </row>
    <row r="7" ht="28" customHeight="1" spans="1:5">
      <c r="A7" s="10" t="s">
        <v>9</v>
      </c>
      <c r="B7" s="11">
        <f>COUNTA(酒精灯加热!A5:A15)</f>
        <v>11</v>
      </c>
      <c r="C7" s="11">
        <v>2</v>
      </c>
      <c r="D7" s="11">
        <v>12</v>
      </c>
      <c r="E7" s="11">
        <f>B7</f>
        <v>11</v>
      </c>
    </row>
    <row r="8" ht="28" customHeight="1" spans="1:5">
      <c r="A8" s="12" t="s">
        <v>10</v>
      </c>
      <c r="B8" s="13">
        <f>COUNTA(温度计操作!A5:A12)</f>
        <v>8</v>
      </c>
      <c r="C8" s="13">
        <v>0</v>
      </c>
      <c r="D8" s="13">
        <v>0</v>
      </c>
      <c r="E8" s="13">
        <f>B8</f>
        <v>8</v>
      </c>
    </row>
    <row r="9" ht="28" customHeight="1" spans="1:5">
      <c r="A9" s="10" t="s">
        <v>11</v>
      </c>
      <c r="B9" s="11">
        <f>COUNTA(多设备热处理!A5:A16)</f>
        <v>12</v>
      </c>
      <c r="C9" s="11">
        <v>2</v>
      </c>
      <c r="D9" s="11">
        <v>9</v>
      </c>
      <c r="E9" s="11">
        <f>B9</f>
        <v>12</v>
      </c>
    </row>
    <row r="10" ht="28" customHeight="1" spans="1:5">
      <c r="A10" s="14" t="s">
        <v>12</v>
      </c>
      <c r="B10" s="15">
        <f>SUM(B5:B9)</f>
        <v>55</v>
      </c>
      <c r="C10" s="15">
        <f>SUM(C5:C9)</f>
        <v>8</v>
      </c>
      <c r="D10" s="15">
        <f>SUM(D5:D9)</f>
        <v>33</v>
      </c>
      <c r="E10" s="15">
        <f>SUM(E5:E9)</f>
        <v>55</v>
      </c>
    </row>
    <row r="12" ht="62" customHeight="1" spans="1:5">
      <c r="A12" s="16" t="s">
        <v>13</v>
      </c>
      <c r="B12" s="2"/>
      <c r="C12" s="2"/>
      <c r="D12" s="2"/>
      <c r="E12" s="3"/>
    </row>
    <row r="13" ht="62" customHeight="1" spans="1:5">
      <c r="A13" s="16" t="s">
        <v>14</v>
      </c>
      <c r="B13" s="2"/>
      <c r="C13" s="2"/>
      <c r="D13" s="2"/>
      <c r="E13" s="3"/>
    </row>
    <row r="14" ht="62" customHeight="1" spans="1:5">
      <c r="A14" s="16" t="s">
        <v>15</v>
      </c>
      <c r="B14" s="2"/>
      <c r="C14" s="2"/>
      <c r="D14" s="2"/>
      <c r="E14" s="3"/>
    </row>
    <row r="15" ht="62" customHeight="1" spans="1:5">
      <c r="A15" s="16" t="s">
        <v>16</v>
      </c>
      <c r="B15" s="2"/>
      <c r="C15" s="2"/>
      <c r="D15" s="2"/>
      <c r="E15" s="3"/>
    </row>
    <row r="16" ht="62" customHeight="1" spans="1:5">
      <c r="A16" s="16" t="s">
        <v>17</v>
      </c>
      <c r="B16" s="2"/>
      <c r="C16" s="2"/>
      <c r="D16" s="2"/>
      <c r="E16" s="3"/>
    </row>
  </sheetData>
  <mergeCells count="7">
    <mergeCell ref="A1:E1"/>
    <mergeCell ref="A2:E2"/>
    <mergeCell ref="A12:E12"/>
    <mergeCell ref="A13:E13"/>
    <mergeCell ref="A14:E14"/>
    <mergeCell ref="A15:E15"/>
    <mergeCell ref="A16:E16"/>
  </mergeCells>
  <pageMargins left="0.75" right="0.75"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6B73"/>
    <pageSetUpPr fitToPage="1"/>
  </sheetPr>
  <dimension ref="A1:E17"/>
  <sheetViews>
    <sheetView showGridLines="0" zoomScale="110" zoomScaleNormal="110" workbookViewId="0">
      <pane ySplit="4" topLeftCell="A10" activePane="bottomLeft" state="frozen"/>
      <selection/>
      <selection pane="bottomLeft" activeCell="E17" sqref="E17"/>
    </sheetView>
  </sheetViews>
  <sheetFormatPr defaultColWidth="9" defaultRowHeight="14.4" outlineLevelCol="4"/>
  <cols>
    <col min="1" max="1" width="62" customWidth="1"/>
    <col min="2" max="2" width="32" customWidth="1"/>
    <col min="3" max="4" width="78" customWidth="1"/>
    <col min="5" max="5" width="88" customWidth="1"/>
  </cols>
  <sheetData>
    <row r="1" ht="28" customHeight="1" spans="1:5">
      <c r="A1" s="1" t="s">
        <v>18</v>
      </c>
      <c r="B1" s="2"/>
      <c r="C1" s="2"/>
      <c r="D1" s="2"/>
      <c r="E1" s="3"/>
    </row>
    <row r="2" ht="48" customHeight="1" spans="1:5">
      <c r="A2" s="4" t="s">
        <v>19</v>
      </c>
      <c r="B2" s="2"/>
      <c r="C2" s="2"/>
      <c r="D2" s="2"/>
      <c r="E2" s="3"/>
    </row>
    <row r="3" ht="10" customHeight="1"/>
    <row r="4" ht="30" customHeight="1" spans="1:5">
      <c r="A4" s="5" t="s">
        <v>20</v>
      </c>
      <c r="B4" s="5" t="s">
        <v>21</v>
      </c>
      <c r="C4" s="5" t="s">
        <v>22</v>
      </c>
      <c r="D4" s="5" t="s">
        <v>23</v>
      </c>
      <c r="E4" s="5" t="s">
        <v>24</v>
      </c>
    </row>
    <row r="5" ht="64" customHeight="1" spans="1:5">
      <c r="A5" s="6" t="s">
        <v>25</v>
      </c>
      <c r="B5" s="7" t="s">
        <v>26</v>
      </c>
      <c r="C5" s="6" t="s">
        <v>27</v>
      </c>
      <c r="D5" s="6" t="s">
        <v>28</v>
      </c>
      <c r="E5" s="6" t="s">
        <v>29</v>
      </c>
    </row>
    <row r="6" ht="64" customHeight="1" spans="1:5">
      <c r="A6" s="8" t="s">
        <v>30</v>
      </c>
      <c r="B6" s="9" t="s">
        <v>26</v>
      </c>
      <c r="C6" s="8" t="s">
        <v>31</v>
      </c>
      <c r="D6" s="8" t="s">
        <v>32</v>
      </c>
      <c r="E6" s="8" t="s">
        <v>33</v>
      </c>
    </row>
    <row r="7" ht="64" customHeight="1" spans="1:5">
      <c r="A7" s="6" t="s">
        <v>34</v>
      </c>
      <c r="B7" s="7" t="s">
        <v>26</v>
      </c>
      <c r="C7" s="6" t="s">
        <v>35</v>
      </c>
      <c r="D7" s="6" t="s">
        <v>36</v>
      </c>
      <c r="E7" s="6" t="s">
        <v>37</v>
      </c>
    </row>
    <row r="8" ht="64" customHeight="1" spans="1:5">
      <c r="A8" s="8" t="s">
        <v>38</v>
      </c>
      <c r="B8" s="9" t="s">
        <v>26</v>
      </c>
      <c r="C8" s="8" t="s">
        <v>39</v>
      </c>
      <c r="D8" s="8" t="s">
        <v>40</v>
      </c>
      <c r="E8" s="8" t="s">
        <v>41</v>
      </c>
    </row>
    <row r="9" ht="64" customHeight="1" spans="1:5">
      <c r="A9" s="6" t="s">
        <v>42</v>
      </c>
      <c r="B9" s="7" t="s">
        <v>26</v>
      </c>
      <c r="C9" s="6" t="s">
        <v>43</v>
      </c>
      <c r="D9" s="6" t="s">
        <v>44</v>
      </c>
      <c r="E9" s="6" t="s">
        <v>45</v>
      </c>
    </row>
    <row r="10" ht="64" customHeight="1" spans="1:5">
      <c r="A10" s="8" t="s">
        <v>46</v>
      </c>
      <c r="B10" s="9" t="s">
        <v>26</v>
      </c>
      <c r="C10" s="8" t="s">
        <v>47</v>
      </c>
      <c r="D10" s="8" t="s">
        <v>48</v>
      </c>
      <c r="E10" s="8" t="s">
        <v>49</v>
      </c>
    </row>
    <row r="11" ht="64" customHeight="1" spans="1:5">
      <c r="A11" s="6" t="s">
        <v>50</v>
      </c>
      <c r="B11" s="7" t="s">
        <v>26</v>
      </c>
      <c r="C11" s="6" t="s">
        <v>51</v>
      </c>
      <c r="D11" s="6" t="s">
        <v>52</v>
      </c>
      <c r="E11" s="6" t="s">
        <v>53</v>
      </c>
    </row>
    <row r="12" ht="64" customHeight="1" spans="1:5">
      <c r="A12" s="8" t="s">
        <v>54</v>
      </c>
      <c r="B12" s="9" t="s">
        <v>26</v>
      </c>
      <c r="C12" s="8" t="s">
        <v>55</v>
      </c>
      <c r="D12" s="8" t="s">
        <v>56</v>
      </c>
      <c r="E12" s="8" t="s">
        <v>57</v>
      </c>
    </row>
    <row r="13" ht="64" customHeight="1" spans="1:5">
      <c r="A13" s="6" t="s">
        <v>58</v>
      </c>
      <c r="B13" s="7" t="s">
        <v>26</v>
      </c>
      <c r="C13" s="6" t="s">
        <v>59</v>
      </c>
      <c r="D13" s="6" t="s">
        <v>28</v>
      </c>
      <c r="E13" s="6" t="s">
        <v>60</v>
      </c>
    </row>
    <row r="14" ht="64" customHeight="1" spans="1:5">
      <c r="A14" s="8" t="s">
        <v>61</v>
      </c>
      <c r="B14" s="9" t="s">
        <v>26</v>
      </c>
      <c r="C14" s="8" t="s">
        <v>62</v>
      </c>
      <c r="D14" s="8" t="s">
        <v>63</v>
      </c>
      <c r="E14" s="8" t="s">
        <v>64</v>
      </c>
    </row>
    <row r="15" ht="64" customHeight="1" spans="1:5">
      <c r="A15" s="6" t="s">
        <v>65</v>
      </c>
      <c r="B15" s="7" t="s">
        <v>26</v>
      </c>
      <c r="C15" s="6" t="s">
        <v>66</v>
      </c>
      <c r="D15" s="6" t="s">
        <v>67</v>
      </c>
      <c r="E15" s="6" t="s">
        <v>68</v>
      </c>
    </row>
    <row r="16" ht="64" customHeight="1" spans="1:5">
      <c r="A16" s="8" t="s">
        <v>69</v>
      </c>
      <c r="B16" s="9" t="s">
        <v>26</v>
      </c>
      <c r="C16" s="8" t="s">
        <v>70</v>
      </c>
      <c r="D16" s="8" t="s">
        <v>71</v>
      </c>
      <c r="E16" s="8" t="s">
        <v>72</v>
      </c>
    </row>
    <row r="17" ht="64" customHeight="1" spans="1:5">
      <c r="A17" s="6" t="s">
        <v>73</v>
      </c>
      <c r="B17" s="6" t="s">
        <v>26</v>
      </c>
      <c r="C17" s="6" t="s">
        <v>74</v>
      </c>
      <c r="D17" s="6" t="s">
        <v>75</v>
      </c>
      <c r="E17" s="6" t="s">
        <v>76</v>
      </c>
    </row>
  </sheetData>
  <autoFilter xmlns:etc="http://www.wps.cn/officeDocument/2017/etCustomData" ref="A4:E17" etc:filterBottomFollowUsedRange="0">
    <extLst/>
  </autoFilter>
  <mergeCells count="2">
    <mergeCell ref="A1:E1"/>
    <mergeCell ref="A2:E2"/>
  </mergeCells>
  <pageMargins left="0.75" right="0.75" top="1" bottom="1" header="0.5" footer="0.5"/>
  <pageSetup paperSize="8" fitToHeight="0" orientation="landscape"/>
  <headerFooter>
    <oddHeader>&amp;L加热台处理 / Hot-Plate Heating</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6B73"/>
    <pageSetUpPr fitToPage="1"/>
  </sheetPr>
  <dimension ref="A1:E15"/>
  <sheetViews>
    <sheetView showGridLines="0" topLeftCell="B1" workbookViewId="0">
      <pane ySplit="4" topLeftCell="A10" activePane="bottomLeft" state="frozen"/>
      <selection/>
      <selection pane="bottomLeft" activeCell="C15" sqref="C15"/>
    </sheetView>
  </sheetViews>
  <sheetFormatPr defaultColWidth="9" defaultRowHeight="14.4" outlineLevelCol="4"/>
  <cols>
    <col min="1" max="1" width="62" customWidth="1"/>
    <col min="2" max="2" width="32" customWidth="1"/>
    <col min="3" max="4" width="78" customWidth="1"/>
    <col min="5" max="5" width="88" customWidth="1"/>
  </cols>
  <sheetData>
    <row r="1" ht="28" customHeight="1" spans="1:5">
      <c r="A1" s="1" t="s">
        <v>8</v>
      </c>
      <c r="B1" s="2"/>
      <c r="C1" s="2"/>
      <c r="D1" s="2"/>
      <c r="E1" s="3"/>
    </row>
    <row r="2" ht="48" customHeight="1" spans="1:5">
      <c r="A2" s="4" t="s">
        <v>77</v>
      </c>
      <c r="B2" s="2"/>
      <c r="C2" s="2"/>
      <c r="D2" s="2"/>
      <c r="E2" s="3"/>
    </row>
    <row r="3" ht="10" customHeight="1"/>
    <row r="4" ht="30" customHeight="1" spans="1:5">
      <c r="A4" s="5" t="s">
        <v>20</v>
      </c>
      <c r="B4" s="5" t="s">
        <v>21</v>
      </c>
      <c r="C4" s="5" t="s">
        <v>22</v>
      </c>
      <c r="D4" s="5" t="s">
        <v>23</v>
      </c>
      <c r="E4" s="5" t="s">
        <v>24</v>
      </c>
    </row>
    <row r="5" ht="64" customHeight="1" spans="1:5">
      <c r="A5" s="6" t="s">
        <v>78</v>
      </c>
      <c r="B5" s="7" t="s">
        <v>26</v>
      </c>
      <c r="C5" s="6" t="s">
        <v>79</v>
      </c>
      <c r="D5" s="6" t="s">
        <v>80</v>
      </c>
      <c r="E5" s="6" t="s">
        <v>81</v>
      </c>
    </row>
    <row r="6" ht="64" customHeight="1" spans="1:5">
      <c r="A6" s="8" t="s">
        <v>82</v>
      </c>
      <c r="B6" s="9" t="s">
        <v>26</v>
      </c>
      <c r="C6" s="8" t="s">
        <v>83</v>
      </c>
      <c r="D6" s="8" t="s">
        <v>84</v>
      </c>
      <c r="E6" s="8" t="s">
        <v>85</v>
      </c>
    </row>
    <row r="7" ht="64" customHeight="1" spans="1:5">
      <c r="A7" s="6" t="s">
        <v>86</v>
      </c>
      <c r="B7" s="7" t="s">
        <v>26</v>
      </c>
      <c r="C7" s="6" t="s">
        <v>87</v>
      </c>
      <c r="D7" s="6" t="s">
        <v>88</v>
      </c>
      <c r="E7" s="6" t="s">
        <v>89</v>
      </c>
    </row>
    <row r="8" ht="64" customHeight="1" spans="1:5">
      <c r="A8" s="8" t="s">
        <v>90</v>
      </c>
      <c r="B8" s="9" t="s">
        <v>26</v>
      </c>
      <c r="C8" s="8" t="s">
        <v>91</v>
      </c>
      <c r="D8" s="8" t="s">
        <v>92</v>
      </c>
      <c r="E8" s="8" t="s">
        <v>93</v>
      </c>
    </row>
    <row r="9" ht="64" customHeight="1" spans="1:5">
      <c r="A9" s="6" t="s">
        <v>94</v>
      </c>
      <c r="B9" s="7" t="s">
        <v>26</v>
      </c>
      <c r="C9" s="6" t="s">
        <v>95</v>
      </c>
      <c r="D9" s="6" t="s">
        <v>96</v>
      </c>
      <c r="E9" s="6" t="s">
        <v>97</v>
      </c>
    </row>
    <row r="10" ht="64" customHeight="1" spans="1:5">
      <c r="A10" s="8" t="s">
        <v>98</v>
      </c>
      <c r="B10" s="9" t="s">
        <v>26</v>
      </c>
      <c r="C10" s="8" t="s">
        <v>99</v>
      </c>
      <c r="D10" s="8" t="s">
        <v>100</v>
      </c>
      <c r="E10" s="8" t="s">
        <v>101</v>
      </c>
    </row>
    <row r="11" ht="64" customHeight="1" spans="1:5">
      <c r="A11" s="6" t="s">
        <v>102</v>
      </c>
      <c r="B11" s="7" t="s">
        <v>26</v>
      </c>
      <c r="C11" s="6" t="s">
        <v>103</v>
      </c>
      <c r="D11" s="6" t="s">
        <v>88</v>
      </c>
      <c r="E11" s="6" t="s">
        <v>104</v>
      </c>
    </row>
    <row r="12" ht="64" customHeight="1" spans="1:5">
      <c r="A12" s="8" t="s">
        <v>105</v>
      </c>
      <c r="B12" s="9" t="s">
        <v>26</v>
      </c>
      <c r="C12" s="8" t="s">
        <v>106</v>
      </c>
      <c r="D12" s="8" t="s">
        <v>92</v>
      </c>
      <c r="E12" s="8" t="s">
        <v>107</v>
      </c>
    </row>
    <row r="13" ht="64" customHeight="1" spans="1:5">
      <c r="A13" s="6" t="s">
        <v>108</v>
      </c>
      <c r="B13" s="7" t="s">
        <v>26</v>
      </c>
      <c r="C13" s="6" t="s">
        <v>109</v>
      </c>
      <c r="D13" s="6" t="s">
        <v>110</v>
      </c>
      <c r="E13" s="6" t="s">
        <v>111</v>
      </c>
    </row>
    <row r="14" ht="64" customHeight="1" spans="1:5">
      <c r="A14" s="8" t="s">
        <v>112</v>
      </c>
      <c r="B14" s="9" t="s">
        <v>26</v>
      </c>
      <c r="C14" s="8" t="s">
        <v>113</v>
      </c>
      <c r="D14" s="8" t="s">
        <v>114</v>
      </c>
      <c r="E14" s="8" t="s">
        <v>115</v>
      </c>
    </row>
    <row r="15" ht="64" customHeight="1" spans="1:5">
      <c r="A15" s="6" t="s">
        <v>116</v>
      </c>
      <c r="B15" s="7" t="s">
        <v>26</v>
      </c>
      <c r="C15" s="6" t="s">
        <v>117</v>
      </c>
      <c r="D15" s="6" t="s">
        <v>118</v>
      </c>
      <c r="E15" s="6" t="s">
        <v>119</v>
      </c>
    </row>
  </sheetData>
  <autoFilter xmlns:etc="http://www.wps.cn/officeDocument/2017/etCustomData" ref="A4:E15" etc:filterBottomFollowUsedRange="0">
    <extLst/>
  </autoFilter>
  <mergeCells count="2">
    <mergeCell ref="A1:E1"/>
    <mergeCell ref="A2:E2"/>
  </mergeCells>
  <pageMargins left="0.75" right="0.75" top="1" bottom="1" header="0.5" footer="0.5"/>
  <pageSetup paperSize="8" fitToHeight="0" orientation="landscape"/>
  <headerFooter>
    <oddHeader>&amp;L水浴处理 / Water-Bath Incubation</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6B73"/>
    <pageSetUpPr fitToPage="1"/>
  </sheetPr>
  <dimension ref="A1:E12"/>
  <sheetViews>
    <sheetView showGridLines="0" workbookViewId="0">
      <pane ySplit="4" topLeftCell="A9" activePane="bottomLeft" state="frozen"/>
      <selection/>
      <selection pane="bottomLeft" activeCell="C19" sqref="C19"/>
    </sheetView>
  </sheetViews>
  <sheetFormatPr defaultColWidth="9" defaultRowHeight="14.4" outlineLevelCol="4"/>
  <cols>
    <col min="1" max="1" width="62" customWidth="1"/>
    <col min="2" max="2" width="32" customWidth="1"/>
    <col min="3" max="4" width="78" customWidth="1"/>
    <col min="5" max="5" width="88" customWidth="1"/>
  </cols>
  <sheetData>
    <row r="1" ht="28" customHeight="1" spans="1:5">
      <c r="A1" s="1" t="s">
        <v>10</v>
      </c>
      <c r="B1" s="2"/>
      <c r="C1" s="2"/>
      <c r="D1" s="2"/>
      <c r="E1" s="3"/>
    </row>
    <row r="2" ht="48" customHeight="1" spans="1:5">
      <c r="A2" s="4" t="s">
        <v>120</v>
      </c>
      <c r="B2" s="2"/>
      <c r="C2" s="2"/>
      <c r="D2" s="2"/>
      <c r="E2" s="3"/>
    </row>
    <row r="3" ht="10" customHeight="1"/>
    <row r="4" ht="30" customHeight="1" spans="1:5">
      <c r="A4" s="5" t="s">
        <v>20</v>
      </c>
      <c r="B4" s="5" t="s">
        <v>21</v>
      </c>
      <c r="C4" s="5" t="s">
        <v>22</v>
      </c>
      <c r="D4" s="5" t="s">
        <v>23</v>
      </c>
      <c r="E4" s="5" t="s">
        <v>24</v>
      </c>
    </row>
    <row r="5" ht="64" customHeight="1" spans="1:5">
      <c r="A5" s="6" t="s">
        <v>121</v>
      </c>
      <c r="B5" s="7" t="s">
        <v>26</v>
      </c>
      <c r="C5" s="6" t="s">
        <v>122</v>
      </c>
      <c r="D5" s="6" t="s">
        <v>123</v>
      </c>
      <c r="E5" s="6" t="s">
        <v>124</v>
      </c>
    </row>
    <row r="6" ht="64" customHeight="1" spans="1:5">
      <c r="A6" s="8" t="s">
        <v>125</v>
      </c>
      <c r="B6" s="9" t="s">
        <v>26</v>
      </c>
      <c r="C6" s="8" t="s">
        <v>126</v>
      </c>
      <c r="D6" s="8" t="s">
        <v>127</v>
      </c>
      <c r="E6" s="8" t="s">
        <v>128</v>
      </c>
    </row>
    <row r="7" ht="64" customHeight="1" spans="1:5">
      <c r="A7" s="6" t="s">
        <v>129</v>
      </c>
      <c r="B7" s="7" t="s">
        <v>26</v>
      </c>
      <c r="C7" s="6" t="s">
        <v>130</v>
      </c>
      <c r="D7" s="6" t="s">
        <v>131</v>
      </c>
      <c r="E7" s="6" t="s">
        <v>132</v>
      </c>
    </row>
    <row r="8" ht="64" customHeight="1" spans="1:5">
      <c r="A8" s="8" t="s">
        <v>133</v>
      </c>
      <c r="B8" s="9" t="s">
        <v>26</v>
      </c>
      <c r="C8" s="8" t="s">
        <v>134</v>
      </c>
      <c r="D8" s="8" t="s">
        <v>135</v>
      </c>
      <c r="E8" s="8" t="s">
        <v>136</v>
      </c>
    </row>
    <row r="9" ht="64" customHeight="1" spans="1:5">
      <c r="A9" s="6" t="s">
        <v>137</v>
      </c>
      <c r="B9" s="7" t="s">
        <v>26</v>
      </c>
      <c r="C9" s="6" t="s">
        <v>138</v>
      </c>
      <c r="D9" s="6" t="s">
        <v>139</v>
      </c>
      <c r="E9" s="6" t="s">
        <v>140</v>
      </c>
    </row>
    <row r="10" ht="64" customHeight="1" spans="1:5">
      <c r="A10" s="8" t="s">
        <v>141</v>
      </c>
      <c r="B10" s="9" t="s">
        <v>26</v>
      </c>
      <c r="C10" s="8" t="s">
        <v>142</v>
      </c>
      <c r="D10" s="8" t="s">
        <v>143</v>
      </c>
      <c r="E10" s="8" t="s">
        <v>144</v>
      </c>
    </row>
    <row r="11" ht="64" customHeight="1" spans="1:5">
      <c r="A11" s="6" t="s">
        <v>145</v>
      </c>
      <c r="B11" s="7" t="s">
        <v>26</v>
      </c>
      <c r="C11" s="6" t="s">
        <v>146</v>
      </c>
      <c r="D11" s="6" t="s">
        <v>123</v>
      </c>
      <c r="E11" s="6" t="s">
        <v>147</v>
      </c>
    </row>
    <row r="12" ht="64" customHeight="1" spans="1:5">
      <c r="A12" s="8" t="s">
        <v>148</v>
      </c>
      <c r="B12" s="9" t="s">
        <v>26</v>
      </c>
      <c r="C12" s="8" t="s">
        <v>149</v>
      </c>
      <c r="D12" s="8" t="s">
        <v>150</v>
      </c>
      <c r="E12" s="8" t="s">
        <v>151</v>
      </c>
    </row>
  </sheetData>
  <autoFilter xmlns:etc="http://www.wps.cn/officeDocument/2017/etCustomData" ref="A4:E12" etc:filterBottomFollowUsedRange="0">
    <extLst/>
  </autoFilter>
  <mergeCells count="2">
    <mergeCell ref="A1:E1"/>
    <mergeCell ref="A2:E2"/>
  </mergeCells>
  <pageMargins left="0.75" right="0.75" top="1" bottom="1" header="0.5" footer="0.5"/>
  <pageSetup paperSize="8" fitToHeight="0" orientation="landscape"/>
  <headerFooter>
    <oddHeader>&amp;L温度计操作 / Thermometer Insertion and Retrieval</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6B73"/>
    <pageSetUpPr fitToPage="1"/>
  </sheetPr>
  <dimension ref="A1:E15"/>
  <sheetViews>
    <sheetView showGridLines="0" zoomScale="79" zoomScaleNormal="79" workbookViewId="0">
      <pane ySplit="4" topLeftCell="A5" activePane="bottomLeft" state="frozen"/>
      <selection/>
      <selection pane="bottomLeft" activeCell="B15" sqref="B15"/>
    </sheetView>
  </sheetViews>
  <sheetFormatPr defaultColWidth="9" defaultRowHeight="14.4" outlineLevelCol="4"/>
  <cols>
    <col min="1" max="1" width="62" customWidth="1"/>
    <col min="2" max="2" width="32" customWidth="1"/>
    <col min="3" max="4" width="78" customWidth="1"/>
    <col min="5" max="5" width="88" customWidth="1"/>
  </cols>
  <sheetData>
    <row r="1" ht="28" customHeight="1" spans="1:5">
      <c r="A1" s="1" t="s">
        <v>9</v>
      </c>
      <c r="B1" s="2"/>
      <c r="C1" s="2"/>
      <c r="D1" s="2"/>
      <c r="E1" s="3"/>
    </row>
    <row r="2" ht="48" customHeight="1" spans="1:5">
      <c r="A2" s="4" t="s">
        <v>152</v>
      </c>
      <c r="B2" s="2"/>
      <c r="C2" s="2"/>
      <c r="D2" s="2"/>
      <c r="E2" s="3"/>
    </row>
    <row r="3" ht="10" customHeight="1"/>
    <row r="4" ht="30" customHeight="1" spans="1:5">
      <c r="A4" s="5" t="s">
        <v>20</v>
      </c>
      <c r="B4" s="5" t="s">
        <v>21</v>
      </c>
      <c r="C4" s="5" t="s">
        <v>22</v>
      </c>
      <c r="D4" s="5" t="s">
        <v>23</v>
      </c>
      <c r="E4" s="5" t="s">
        <v>24</v>
      </c>
    </row>
    <row r="5" ht="64" customHeight="1" spans="1:5">
      <c r="A5" s="6" t="s">
        <v>153</v>
      </c>
      <c r="B5" s="7" t="s">
        <v>26</v>
      </c>
      <c r="C5" s="6" t="s">
        <v>154</v>
      </c>
      <c r="D5" s="6" t="s">
        <v>155</v>
      </c>
      <c r="E5" s="6" t="s">
        <v>156</v>
      </c>
    </row>
    <row r="6" ht="64" customHeight="1" spans="1:5">
      <c r="A6" s="8" t="s">
        <v>157</v>
      </c>
      <c r="B6" s="9" t="s">
        <v>26</v>
      </c>
      <c r="C6" s="8" t="s">
        <v>158</v>
      </c>
      <c r="D6" s="8" t="s">
        <v>159</v>
      </c>
      <c r="E6" s="8" t="s">
        <v>160</v>
      </c>
    </row>
    <row r="7" ht="64" customHeight="1" spans="1:5">
      <c r="A7" s="6" t="s">
        <v>161</v>
      </c>
      <c r="B7" s="7" t="s">
        <v>26</v>
      </c>
      <c r="C7" s="6" t="s">
        <v>162</v>
      </c>
      <c r="D7" s="6" t="s">
        <v>163</v>
      </c>
      <c r="E7" s="6" t="s">
        <v>164</v>
      </c>
    </row>
    <row r="8" ht="64" customHeight="1" spans="1:5">
      <c r="A8" s="8" t="s">
        <v>165</v>
      </c>
      <c r="B8" s="9" t="s">
        <v>26</v>
      </c>
      <c r="C8" s="8" t="s">
        <v>166</v>
      </c>
      <c r="D8" s="8" t="s">
        <v>167</v>
      </c>
      <c r="E8" s="8" t="s">
        <v>168</v>
      </c>
    </row>
    <row r="9" ht="64" customHeight="1" spans="1:5">
      <c r="A9" s="6" t="s">
        <v>169</v>
      </c>
      <c r="B9" s="7" t="s">
        <v>26</v>
      </c>
      <c r="C9" s="6" t="s">
        <v>170</v>
      </c>
      <c r="D9" s="6" t="s">
        <v>171</v>
      </c>
      <c r="E9" s="6" t="s">
        <v>172</v>
      </c>
    </row>
    <row r="10" ht="64" customHeight="1" spans="1:5">
      <c r="A10" s="8" t="s">
        <v>173</v>
      </c>
      <c r="B10" s="9" t="s">
        <v>26</v>
      </c>
      <c r="C10" s="8" t="s">
        <v>174</v>
      </c>
      <c r="D10" s="8" t="s">
        <v>175</v>
      </c>
      <c r="E10" s="8" t="s">
        <v>176</v>
      </c>
    </row>
    <row r="11" ht="64" customHeight="1" spans="1:5">
      <c r="A11" s="6" t="s">
        <v>177</v>
      </c>
      <c r="B11" s="7" t="s">
        <v>26</v>
      </c>
      <c r="C11" s="6" t="s">
        <v>178</v>
      </c>
      <c r="D11" s="6" t="s">
        <v>179</v>
      </c>
      <c r="E11" s="6" t="s">
        <v>180</v>
      </c>
    </row>
    <row r="12" ht="64" customHeight="1" spans="1:5">
      <c r="A12" s="8" t="s">
        <v>181</v>
      </c>
      <c r="B12" s="9" t="s">
        <v>26</v>
      </c>
      <c r="C12" s="8" t="s">
        <v>182</v>
      </c>
      <c r="D12" s="8" t="s">
        <v>183</v>
      </c>
      <c r="E12" s="8" t="s">
        <v>184</v>
      </c>
    </row>
    <row r="13" ht="64" customHeight="1" spans="1:5">
      <c r="A13" s="6" t="s">
        <v>185</v>
      </c>
      <c r="B13" s="7" t="s">
        <v>26</v>
      </c>
      <c r="C13" s="6" t="s">
        <v>186</v>
      </c>
      <c r="D13" s="6" t="s">
        <v>155</v>
      </c>
      <c r="E13" s="6" t="s">
        <v>187</v>
      </c>
    </row>
    <row r="14" ht="64" customHeight="1" spans="1:5">
      <c r="A14" s="8" t="s">
        <v>188</v>
      </c>
      <c r="B14" s="9" t="s">
        <v>26</v>
      </c>
      <c r="C14" s="8" t="s">
        <v>189</v>
      </c>
      <c r="D14" s="8" t="s">
        <v>190</v>
      </c>
      <c r="E14" s="8" t="s">
        <v>191</v>
      </c>
    </row>
    <row r="15" ht="64" customHeight="1" spans="1:5">
      <c r="A15" s="6" t="s">
        <v>192</v>
      </c>
      <c r="B15" s="7" t="s">
        <v>26</v>
      </c>
      <c r="C15" s="6" t="s">
        <v>193</v>
      </c>
      <c r="D15" s="6" t="s">
        <v>194</v>
      </c>
      <c r="E15" s="6" t="s">
        <v>195</v>
      </c>
    </row>
  </sheetData>
  <autoFilter xmlns:etc="http://www.wps.cn/officeDocument/2017/etCustomData" ref="A4:E15" etc:filterBottomFollowUsedRange="0">
    <extLst/>
  </autoFilter>
  <mergeCells count="2">
    <mergeCell ref="A1:E1"/>
    <mergeCell ref="A2:E2"/>
  </mergeCells>
  <pageMargins left="0.75" right="0.75" top="1" bottom="1" header="0.5" footer="0.5"/>
  <pageSetup paperSize="8" fitToHeight="0" orientation="landscape"/>
  <headerFooter>
    <oddHeader>&amp;L酒精灯加热 / Alcohol-Lamp Heating</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6B73"/>
    <pageSetUpPr fitToPage="1"/>
  </sheetPr>
  <dimension ref="A1:E16"/>
  <sheetViews>
    <sheetView showGridLines="0" tabSelected="1" zoomScale="65" zoomScaleNormal="65" workbookViewId="0">
      <pane ySplit="4" topLeftCell="A11" activePane="bottomLeft" state="frozen"/>
      <selection/>
      <selection pane="bottomLeft" activeCell="B16" sqref="B16"/>
    </sheetView>
  </sheetViews>
  <sheetFormatPr defaultColWidth="9" defaultRowHeight="14.4" outlineLevelCol="4"/>
  <cols>
    <col min="1" max="1" width="62" customWidth="1"/>
    <col min="2" max="2" width="32" customWidth="1"/>
    <col min="3" max="4" width="78" customWidth="1"/>
    <col min="5" max="5" width="88" customWidth="1"/>
  </cols>
  <sheetData>
    <row r="1" ht="28" customHeight="1" spans="1:5">
      <c r="A1" s="1" t="s">
        <v>11</v>
      </c>
      <c r="B1" s="2"/>
      <c r="C1" s="2"/>
      <c r="D1" s="2"/>
      <c r="E1" s="3"/>
    </row>
    <row r="2" ht="48" customHeight="1" spans="1:5">
      <c r="A2" s="4" t="s">
        <v>196</v>
      </c>
      <c r="B2" s="2"/>
      <c r="C2" s="2"/>
      <c r="D2" s="2"/>
      <c r="E2" s="3"/>
    </row>
    <row r="3" ht="10" customHeight="1"/>
    <row r="4" ht="30" customHeight="1" spans="1:5">
      <c r="A4" s="5" t="s">
        <v>20</v>
      </c>
      <c r="B4" s="5" t="s">
        <v>21</v>
      </c>
      <c r="C4" s="5" t="s">
        <v>22</v>
      </c>
      <c r="D4" s="5" t="s">
        <v>23</v>
      </c>
      <c r="E4" s="5" t="s">
        <v>24</v>
      </c>
    </row>
    <row r="5" ht="64" customHeight="1" spans="1:5">
      <c r="A5" s="6" t="s">
        <v>197</v>
      </c>
      <c r="B5" s="7" t="s">
        <v>26</v>
      </c>
      <c r="C5" s="6" t="s">
        <v>198</v>
      </c>
      <c r="D5" s="6" t="s">
        <v>199</v>
      </c>
      <c r="E5" s="6" t="s">
        <v>200</v>
      </c>
    </row>
    <row r="6" ht="64" customHeight="1" spans="1:5">
      <c r="A6" s="8" t="s">
        <v>201</v>
      </c>
      <c r="B6" s="9" t="s">
        <v>26</v>
      </c>
      <c r="C6" s="8" t="s">
        <v>202</v>
      </c>
      <c r="D6" s="8" t="s">
        <v>203</v>
      </c>
      <c r="E6" s="8" t="s">
        <v>204</v>
      </c>
    </row>
    <row r="7" ht="64" customHeight="1" spans="1:5">
      <c r="A7" s="6" t="s">
        <v>205</v>
      </c>
      <c r="B7" s="7" t="s">
        <v>26</v>
      </c>
      <c r="C7" s="6" t="s">
        <v>206</v>
      </c>
      <c r="D7" s="6" t="s">
        <v>207</v>
      </c>
      <c r="E7" s="6" t="s">
        <v>208</v>
      </c>
    </row>
    <row r="8" ht="64" customHeight="1" spans="1:5">
      <c r="A8" s="8" t="s">
        <v>209</v>
      </c>
      <c r="B8" s="9" t="s">
        <v>26</v>
      </c>
      <c r="C8" s="8" t="s">
        <v>210</v>
      </c>
      <c r="D8" s="8" t="s">
        <v>211</v>
      </c>
      <c r="E8" s="8" t="s">
        <v>212</v>
      </c>
    </row>
    <row r="9" ht="64" customHeight="1" spans="1:5">
      <c r="A9" s="6" t="s">
        <v>213</v>
      </c>
      <c r="B9" s="7" t="s">
        <v>26</v>
      </c>
      <c r="C9" s="6" t="s">
        <v>214</v>
      </c>
      <c r="D9" s="6" t="s">
        <v>215</v>
      </c>
      <c r="E9" s="6" t="s">
        <v>216</v>
      </c>
    </row>
    <row r="10" ht="64" customHeight="1" spans="1:5">
      <c r="A10" s="8" t="s">
        <v>217</v>
      </c>
      <c r="B10" s="9" t="s">
        <v>26</v>
      </c>
      <c r="C10" s="8" t="s">
        <v>218</v>
      </c>
      <c r="D10" s="8" t="s">
        <v>219</v>
      </c>
      <c r="E10" s="8" t="s">
        <v>220</v>
      </c>
    </row>
    <row r="11" ht="64" customHeight="1" spans="1:5">
      <c r="A11" s="6" t="s">
        <v>221</v>
      </c>
      <c r="B11" s="7" t="s">
        <v>26</v>
      </c>
      <c r="C11" s="6" t="s">
        <v>222</v>
      </c>
      <c r="D11" s="6" t="s">
        <v>223</v>
      </c>
      <c r="E11" s="6" t="s">
        <v>224</v>
      </c>
    </row>
    <row r="12" ht="64" customHeight="1" spans="1:5">
      <c r="A12" s="8" t="s">
        <v>225</v>
      </c>
      <c r="B12" s="9" t="s">
        <v>26</v>
      </c>
      <c r="C12" s="8" t="s">
        <v>226</v>
      </c>
      <c r="D12" s="8" t="s">
        <v>227</v>
      </c>
      <c r="E12" s="8" t="s">
        <v>228</v>
      </c>
    </row>
    <row r="13" ht="64" customHeight="1" spans="1:5">
      <c r="A13" s="6" t="s">
        <v>229</v>
      </c>
      <c r="B13" s="7" t="s">
        <v>26</v>
      </c>
      <c r="C13" s="6" t="s">
        <v>230</v>
      </c>
      <c r="D13" s="6" t="s">
        <v>231</v>
      </c>
      <c r="E13" s="6" t="s">
        <v>232</v>
      </c>
    </row>
    <row r="14" ht="64" customHeight="1" spans="1:5">
      <c r="A14" s="8" t="s">
        <v>233</v>
      </c>
      <c r="B14" s="9" t="s">
        <v>26</v>
      </c>
      <c r="C14" s="8" t="s">
        <v>234</v>
      </c>
      <c r="D14" s="8" t="s">
        <v>235</v>
      </c>
      <c r="E14" s="8" t="s">
        <v>236</v>
      </c>
    </row>
    <row r="15" ht="64" customHeight="1" spans="1:5">
      <c r="A15" s="6" t="s">
        <v>237</v>
      </c>
      <c r="B15" s="7" t="s">
        <v>26</v>
      </c>
      <c r="C15" s="6" t="s">
        <v>238</v>
      </c>
      <c r="D15" s="6" t="s">
        <v>239</v>
      </c>
      <c r="E15" s="6" t="s">
        <v>240</v>
      </c>
    </row>
    <row r="16" ht="64" customHeight="1" spans="1:5">
      <c r="A16" s="8" t="s">
        <v>241</v>
      </c>
      <c r="B16" s="9" t="s">
        <v>26</v>
      </c>
      <c r="C16" s="8" t="s">
        <v>242</v>
      </c>
      <c r="D16" s="8" t="s">
        <v>243</v>
      </c>
      <c r="E16" s="8" t="s">
        <v>244</v>
      </c>
    </row>
  </sheetData>
  <autoFilter xmlns:etc="http://www.wps.cn/officeDocument/2017/etCustomData" ref="A4:E16" etc:filterBottomFollowUsedRange="0">
    <extLst/>
  </autoFilter>
  <mergeCells count="2">
    <mergeCell ref="A1:E1"/>
    <mergeCell ref="A2:E2"/>
  </mergeCells>
  <pageMargins left="0.75" right="0.75" top="1" bottom="1" header="0.5" footer="0.5"/>
  <pageSetup paperSize="8" fitToHeight="0" orientation="landscape"/>
  <headerFooter>
    <oddHeader>&amp;L多设备热处理 / Multi-Device Thermal Procedures</oddHead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任务汇总</vt:lpstr>
      <vt:lpstr>加热台处理</vt:lpstr>
      <vt:lpstr>水浴处理</vt:lpstr>
      <vt:lpstr>温度计操作</vt:lpstr>
      <vt:lpstr>酒精灯加热</vt:lpstr>
      <vt:lpstr>多设备热处理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秦茂凯</cp:lastModifiedBy>
  <dcterms:created xsi:type="dcterms:W3CDTF">2026-09-23T15:53:00Z</dcterms:created>
  <dcterms:modified xsi:type="dcterms:W3CDTF">2026-09-26T13:46:40Z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CF991E03C4A637244346B26A703540A6_42</vt:lpwstr>
  </property>
  <property fmtid="{D5CDD505-2E9C-101B-9397-08002B2CF9AE}" pid="3" name="KSOProductBuildVer">
    <vt:lpwstr>2052-12.1.0.28505</vt:lpwstr>
  </property>
  <property fmtid="{D5CDD505-2E9C-101B-9397-08002B2CF9AE}" pid="4" name="CalculationRule">
    <vt:i4>0</vt:i4>
  </property>
</Properties>
</file>