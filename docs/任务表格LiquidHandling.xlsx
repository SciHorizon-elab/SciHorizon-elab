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kaikai\Downloads\"/>
    </mc:Choice>
  </mc:AlternateContent>
  <bookViews>
    <workbookView windowWidth="22188" windowHeight="8615"/>
  </bookViews>
  <sheets>
    <sheet name="任务汇总" sheetId="1" r:id="rId1"/>
    <sheet name="单次直接倾倒" sheetId="2" r:id="rId2"/>
    <sheet name="移液枪转移" sheetId="3" r:id="rId3"/>
    <sheet name="移液管转移" sheetId="4" r:id="rId4"/>
    <sheet name="两次接力倾倒" sheetId="5" r:id="rId5"/>
    <sheet name="三次接力倾倒" sheetId="6" r:id="rId6"/>
    <sheet name="双源汇聚倾倒" sheetId="7" r:id="rId7"/>
    <sheet name="倾倒与工具接力" sheetId="8" r:id="rId8"/>
    <sheet name="储液池多目标分装" sheetId="9" r:id="rId9"/>
    <sheet name="多来源有序添加" sheetId="10" r:id="rId10"/>
    <sheet name="人工触发流程" sheetId="11" r:id="rId11"/>
    <sheet name="并行样本处理"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<sst xmlns="http://schemas.openxmlformats.org/spreadsheetml/2006/main" count="469" uniqueCount="328">
  <si>
    <t>VLABench 液体任务重构方案 / Restructured Liquid Task Plan</t>
  </si>
  <si>
    <t>已完成全部11个任务页的命名与可执行性修订；当前工作簿共74项任务 / All 11 task sheets have been revised for naming and executability; the workbook contains 74 tasks</t>
  </si>
  <si>
    <t>类型 / Type</t>
  </si>
  <si>
    <t>程序结构 / Structures</t>
  </si>
  <si>
    <t>材料重复 / Material-only duplicates</t>
  </si>
  <si>
    <t>人工触发 / Event-conditioned</t>
  </si>
  <si>
    <t>任务数 / Tasks</t>
  </si>
  <si>
    <t>单次直接倾倒 / Single-stage Pouring</t>
  </si>
  <si>
    <t>移液枪转移 / Mechanical Pipette Transfer</t>
  </si>
  <si>
    <t>移液管转移 / Pipette Transfer</t>
  </si>
  <si>
    <t>两次接力倾倒 / Two-pour Relay</t>
  </si>
  <si>
    <t>三次接力倾倒 / Three-pour Relay</t>
  </si>
  <si>
    <t>双源汇聚倾倒 / Convergent Pouring</t>
  </si>
  <si>
    <t>倾倒与工具接力 / Pour–Tool Relay</t>
  </si>
  <si>
    <t>储液池多目标分装 / Reservoir Multi-target Distribution</t>
  </si>
  <si>
    <t>多来源有序添加 / Ordered Multi-source Addition</t>
  </si>
  <si>
    <t>人工触发流程 / Human-triggered Procedures</t>
  </si>
  <si>
    <t>并行样本处理 / Parallel Sample Handling</t>
  </si>
  <si>
    <t>总计 / Total</t>
  </si>
  <si>
    <t>设计口径 / Counting rule: CuSO4、FeCl2、KMnO4仅作为材料绑定；两个任务若去除材料名称后程序、对象角色和顺序完全相同，则只保留一个。 / Materials are bindings only; tasks identical after material normalization are counted once.</t>
  </si>
  <si>
    <t>引擎边界 / Engine boundary: 不包含精确体积、液位、残液、滴定、浓度或连续流体检测；液体转移按动作完成后的离散状态变化评价。 / No continuous liquid simulation or quantitative liquid sensing is assumed.</t>
  </si>
  <si>
    <t>组合重点 / Composition focus: 操作顺序、容器拓扑、工具切换、多目标/多来源、人工事件和工作区交互。 / Evaluation focuses on order, topology, tool switching, multi-target/source structure, external events, and workspace interaction.</t>
  </si>
  <si>
    <t>8个去重任务结构；材料仅作为绑定，不作为独立任务计数 / 8 deduplicated task structures; material bindings are not counted as separate tasks</t>
  </si>
  <si>
    <t>Task name</t>
  </si>
  <si>
    <t>Primary family</t>
  </si>
  <si>
    <t>Instruction</t>
  </si>
  <si>
    <t>entities</t>
  </si>
  <si>
    <t>P: executable program</t>
  </si>
  <si>
    <t>pour_small_beaker_into_small_beaker</t>
  </si>
  <si>
    <t>Liquid handling</t>
  </si>
  <si>
    <t>Pick up small beaker containing CuSO4 solution and pour it into another small beaker.</t>
  </si>
  <si>
    <t>small_beaker_0; small_beaker_1; CuSO4_solution_0</t>
  </si>
  <si>
    <t>pick(beaker_0) → pour_to_entity(beaker_0, beaker_1)</t>
  </si>
  <si>
    <t>pour_small_beaker_into_flask</t>
  </si>
  <si>
    <t>Pick up small beaker containing FeCl2 solution and pour it into flask.</t>
  </si>
  <si>
    <t>small_beaker_0; flask_0; FeCl2_solution_0</t>
  </si>
  <si>
    <t>pick(beaker_0) → pour_to_entity(beaker_0, flask_0)</t>
  </si>
  <si>
    <t>pour_small_beaker_into_medium_cylinder</t>
  </si>
  <si>
    <t>Pick up small beaker containing KMnO4 solution and pour it into medium cylinder.</t>
  </si>
  <si>
    <t>small_beaker_0; medium_cylinder_0; KMnO4_solution_0</t>
  </si>
  <si>
    <t>pick(beaker_0) → pour_to_entity(beaker_0, graduated_cylinder_0)</t>
  </si>
  <si>
    <t>pour_flask_into_small_beaker</t>
  </si>
  <si>
    <t>Pick up flask containing CuSO4 solution and pour it into small beaker.</t>
  </si>
  <si>
    <t>flask_0; small_beaker_0; CuSO4_solution_0</t>
  </si>
  <si>
    <t>pick(flask_0) → pour_to_entity(flask_0, beaker_0)</t>
  </si>
  <si>
    <t>pour_flask_into_medium_cylinder</t>
  </si>
  <si>
    <t>Pick up flask containing FeCl2 solution and pour it into medium cylinder.</t>
  </si>
  <si>
    <t>flask_0; medium_cylinder_0; FeCl2_solution_0</t>
  </si>
  <si>
    <t>pick(flask_0) → pour_to_entity(flask_0, graduated_cylinder_0)</t>
  </si>
  <si>
    <t>pour_medium_cylinder_into_small_beaker</t>
  </si>
  <si>
    <t>Pick up medium cylinder containing KMnO4 solution and pour it into small beaker.</t>
  </si>
  <si>
    <t>medium_cylinder_0; small_beaker_0; KMnO4_solution_0</t>
  </si>
  <si>
    <t>pick(graduated_cylinder_0) → pour_to_entity(graduated_cylinder_0, beaker_0)</t>
  </si>
  <si>
    <t>pour_tube_into_small_beaker</t>
  </si>
  <si>
    <t>Pick up tube containing CuSO4 solution and pour it into small beaker.</t>
  </si>
  <si>
    <t>chemistry_tube_0; small_beaker_0; CuSO4_solution_0</t>
  </si>
  <si>
    <t>pick(chemistry_tube_0) → pour_to_entity(chemistry_tube_0, beaker_0)</t>
  </si>
  <si>
    <t>pour_small_beaker_into_tube</t>
  </si>
  <si>
    <t>Pick up small beaker containing FeCl2 solution and pour it into tube.</t>
  </si>
  <si>
    <t>small_beaker_0; chemistry_tube_0; FeCl2_solution_0</t>
  </si>
  <si>
    <t>pick(beaker_0) → pour_to_entity(beaker_0, chemistry_tube_0)</t>
  </si>
  <si>
    <t>6个去重任务结构；材料仅作为绑定，不作为独立任务计数 / 6 deduplicated task structures; material bindings are not counted as separate tasks</t>
  </si>
  <si>
    <t>mechanical_pipette_small_beaker_to_tube_once</t>
  </si>
  <si>
    <t>Pick up the mechanical pipette and aspirate CuSO4 solution from the small beaker, then dispense the solution to the tube.</t>
  </si>
  <si>
    <t>mechanical_pipette_0; small_beaker_0; chemistry_tube_0; CuSO4_solution_0</t>
  </si>
  <si>
    <t>pick(mechanical_pipette_0) → moveto_entity(mechanical_pipette_0, small_beaker_0) → aspirate(mechanical_pipette_0, small_beaker_0) → moveto_entity(mechanical_pipette_0, chemistry_tube_0) → dispense(mechanical_pipette_0, chemistry_tube_0)</t>
  </si>
  <si>
    <t>mechanical_pipette_large_beaker_to_tube_twice</t>
  </si>
  <si>
    <t>Pick up the mechanical pipette and aspirate FeCl2 solution from the large beaker, then dispense the solution to the tube. Repeat the aspirate-dispense cycle once more.</t>
  </si>
  <si>
    <t>mechanical_pipette_0; large_beaker_0; chemistry_tube_0; FeCl2_solution_0</t>
  </si>
  <si>
    <t>pick(mechanical_pipette_0) → moveto_entity(mechanical_pipette_0, large_beaker_0) → aspirate(mechanical_pipette_0, large_beaker_0) → moveto_entity(mechanical_pipette_0, chemistry_tube_0) → dispense(mechanical_pipette_0, chemistry_tube_0) → moveto_entity(mechanical_pipette_0, large_beaker_0) → aspirate(mechanical_pipette_0, large_beaker_0) → moveto_entity(mechanical_pipette_0, chemistry_tube_0) → dispense(mechanical_pipette_0, chemistry_tube_0)</t>
  </si>
  <si>
    <t>mechanical_pipette_small_beaker_to_flask_once</t>
  </si>
  <si>
    <t>Pick up the mechanical pipette and aspirate KMnO4 solution from the small beaker, then dispense the solution to the flask.</t>
  </si>
  <si>
    <t>mechanical_pipette_0; small_beaker_0; flask_0; KMnO4_solution_0</t>
  </si>
  <si>
    <t>pick(mechanical_pipette_0) → moveto_entity(mechanical_pipette_0, small_beaker_0) → aspirate(mechanical_pipette_0, small_beaker_0) → moveto_entity(mechanical_pipette_0, flask_0) → dispense(mechanical_pipette_0, flask_0)</t>
  </si>
  <si>
    <t>mechanical_pipette_large_beaker_to_flask_twice</t>
  </si>
  <si>
    <t>Pick up the mechanical pipette and aspirate CuSO4 solution from the large beaker, then dispense the solution to the flask. Repeat the aspirate-dispense cycle once more.</t>
  </si>
  <si>
    <t>mechanical_pipette_0; large_beaker_0; flask_0; CuSO4_solution_0</t>
  </si>
  <si>
    <t>pick(mechanical_pipette_0) → moveto_entity(mechanical_pipette_0, large_beaker_0) → aspirate(mechanical_pipette_0, large_beaker_0) → moveto_entity(mechanical_pipette_0, flask_0) → dispense(mechanical_pipette_0, flask_0) → moveto_entity(mechanical_pipette_0, large_beaker_0) → aspirate(mechanical_pipette_0, large_beaker_0) → moveto_entity(mechanical_pipette_0, flask_0) → dispense(mechanical_pipette_0, flask_0)</t>
  </si>
  <si>
    <t>mechanical_pipette_small_beaker_to_petridish_once</t>
  </si>
  <si>
    <t>Pick up the mechanical pipette and aspirate FeCl2 solution from the small beaker, then dispense the solution to the petri dish.</t>
  </si>
  <si>
    <t>mechanical_pipette_0; small_beaker_0; petri_dish_0; FeCl2_solution_0</t>
  </si>
  <si>
    <t>pick(mechanical_pipette_0) → moveto_entity(mechanical_pipette_0, small_beaker_0) → aspirate(mechanical_pipette_0, small_beaker_0) → moveto_entity(mechanical_pipette_0, petri_dish_0) → dispense(mechanical_pipette_0, petri_dish_0)</t>
  </si>
  <si>
    <t>mechanical_pipette_large_beaker_to_petridish_twice</t>
  </si>
  <si>
    <t>Pick up the mechanical pipette and aspirate KMnO4 solution from the large beaker, then dispense the solution to the petri dish. Repeat the aspirate-dispense cycle once more.</t>
  </si>
  <si>
    <t>mechanical_pipette_0; large_beaker_0; petri_dish_0; KMnO4_solution_0</t>
  </si>
  <si>
    <t>pick(mechanical_pipette_0) → moveto_entity(mechanical_pipette_0, large_beaker_0) → aspirate(mechanical_pipette_0, large_beaker_0) → moveto_entity(mechanical_pipette_0, petri_dish_0) → dispense(mechanical_pipette_0, petri_dish_0) → moveto_entity(mechanical_pipette_0, large_beaker_0) → aspirate(mechanical_pipette_0, large_beaker_0) → moveto_entity(mechanical_pipette_0, petri_dish_0) → dispense(mechanical_pipette_0, petri_dish_0)</t>
  </si>
  <si>
    <t>pipette_small_beaker_to_tube_once</t>
  </si>
  <si>
    <t>Pick up the pipette and aspirate CuSO4 solution from the small beaker, then dispense the solution to the tube.</t>
  </si>
  <si>
    <t>pipette_0; small_beaker_0; chemistry_tube_0; CuSO4_solution_0</t>
  </si>
  <si>
    <t>pick(pipette_0) → moveto_entity(pipette_0, small_beaker_0) → aspirate(pipette_0, small_beaker_0) → moveto_entity(pipette_0, chemistry_tube_0) → dispense(pipette_0, chemistry_tube_0)</t>
  </si>
  <si>
    <t>pipette_large_beaker_to_tube_twice</t>
  </si>
  <si>
    <t>Pick up the pipette and aspirate FeCl2 solution from the large beaker, then dispense the solution to the tube. Repeat the aspirate-dispense cycle once more.</t>
  </si>
  <si>
    <t>pipette_0; large_beaker_0; chemistry_tube_0; FeCl2_solution_0</t>
  </si>
  <si>
    <t>pick(pipette_0) → moveto_entity(pipette_0, large_beaker_0) → aspirate(pipette_0, large_beaker_0) → moveto_entity(pipette_0, chemistry_tube_0) → dispense(pipette_0, chemistry_tube_0) → moveto_entity(pipette_0, large_beaker_0) → aspirate(pipette_0, large_beaker_0) → moveto_entity(pipette_0, chemistry_tube_0) → dispense(pipette_0, chemistry_tube_0)</t>
  </si>
  <si>
    <t>pipette_small_beaker_to_flask_once</t>
  </si>
  <si>
    <t>Pick up the pipette and aspirate KMnO4 solution from the small beaker, then dispense the solution to the flask.</t>
  </si>
  <si>
    <t>pipette_0; small_beaker_0; flask_0; KMnO4_solution_0</t>
  </si>
  <si>
    <t>pick(pipette_0) → moveto_entity(pipette_0, small_beaker_0) → aspirate(pipette_0, small_beaker_0) → moveto_entity(pipette_0, flask_0) → dispense(pipette_0, flask_0)</t>
  </si>
  <si>
    <t>pipette_large_beaker_to_flask_twice</t>
  </si>
  <si>
    <t>Pick up the pipette and aspirate CuSO4 solution from the large beaker, then dispense the solution to the flask. Repeat the aspirate-dispense cycle once more.</t>
  </si>
  <si>
    <t>pipette_0; large_beaker_0; flask_0; CuSO4_solution_0</t>
  </si>
  <si>
    <t>pick(pipette_0) → moveto_entity(pipette_0, large_beaker_0) → aspirate(pipette_0, large_beaker_0) → moveto_entity(pipette_0, flask_0) → dispense(pipette_0, flask_0) → moveto_entity(pipette_0, large_beaker_0) → aspirate(pipette_0, large_beaker_0) → moveto_entity(pipette_0, flask_0) → dispense(pipette_0, flask_0)</t>
  </si>
  <si>
    <t>pipette_small_beaker_to_petridish_once</t>
  </si>
  <si>
    <t>Pick up the pipette and aspirate FeCl2 solution from the small beaker, then dispense the solution to the petri dish.</t>
  </si>
  <si>
    <t>pipette_0; small_beaker_0; petri_dish_0; FeCl2_solution_0</t>
  </si>
  <si>
    <t>pick(pipette_0) → moveto_entity(pipette_0, small_beaker_0) → aspirate(pipette_0, small_beaker_0) → moveto_entity(pipette_0, petri_dish_0) → dispense(pipette_0, petri_dish_0)</t>
  </si>
  <si>
    <t>pipette_large_beaker_to_petridish_twice</t>
  </si>
  <si>
    <t>Pick up the pipette and aspirate KMnO4 solution from the large beaker, then dispense the solution to the petri dish. Repeat the aspirate-dispense cycle once more.</t>
  </si>
  <si>
    <t>pipette_0; large_beaker_0; petri_dish_0; KMnO4_solution_0</t>
  </si>
  <si>
    <t>pick(pipette_0) → moveto_entity(pipette_0, large_beaker_0) → aspirate(pipette_0, large_beaker_0) → moveto_entity(pipette_0, petri_dish_0) → dispense(pipette_0, petri_dish_0) → moveto_entity(pipette_0, large_beaker_0) → aspirate(pipette_0, large_beaker_0) → moveto_entity(pipette_0, petri_dish_0) → dispense(pipette_0, petri_dish_0)</t>
  </si>
  <si>
    <t>4个去重任务结构；材料仅作为绑定，不作为独立任务计数 / 4 deduplicated task structures; material bindings are not counted as separate tasks</t>
  </si>
  <si>
    <t>relay_small_beaker_via_flask_to_medium_cylinder</t>
  </si>
  <si>
    <t>Pick up the small beaker which contains CuSO4 solution, and pour the solution into flask, then pick the flask and pour the solution from flask into medium cylinder.</t>
  </si>
  <si>
    <t>small_beaker_0; flask_0; medium_cylinder_0; CuSO4_solution_0</t>
  </si>
  <si>
    <t>pick(beaker_0) → pour_to_entity(beaker_0, flask_0) → place(beaker_0) → pick(flask_0) → pour_to_entity(flask_0, graduated_cylinder_0)</t>
  </si>
  <si>
    <t>relay_small_beaker_via_medium_cylinder_to_flask</t>
  </si>
  <si>
    <t>Pick up the small beaker which contains FeCl2 solution, and pour the solution into medium cylinder, then pick the medium cylinder and pour the solution from medium cylinder into flask.</t>
  </si>
  <si>
    <t>small_beaker_0; medium_cylinder_0; flask_0; FeCl2_solution_0</t>
  </si>
  <si>
    <t>pick(beaker_0) → pour_to_entity(beaker_0, graduated_cylinder_0) → place(beaker_0) → pick(graduated_cylinder_0) → pour_to_entity(graduated_cylinder_0, flask_0)</t>
  </si>
  <si>
    <t>relay_flask_via_small_beaker_to_tube</t>
  </si>
  <si>
    <t>Pick up the flask which contains KMnO4 solution, and pour the solution into small beaker, then pick the small beaker and pour the solution from small beaker into tube.</t>
  </si>
  <si>
    <t>flask_0; small_beaker_0; chemistry_tube_0; KMnO4_solution_0</t>
  </si>
  <si>
    <t>pick(flask_0) → pour_to_entity(flask_0, beaker_0) → place(flask_0) → pick(beaker_0) → pour_to_entity(beaker_0, chemistry_tube_0)</t>
  </si>
  <si>
    <t>relay_tube_via_small_beaker_to_medium_cylinder</t>
  </si>
  <si>
    <t>Pick up the tube which contains CuSO4 solution, and pour the solution into small beaker, then pick the small beaker and pour the solution from small beaker into medium cylinder.</t>
  </si>
  <si>
    <t>chemistry_tube_0; small_beaker_0; medium_cylinder_0; CuSO4_solution_0</t>
  </si>
  <si>
    <t>pick(chemistry_tube_0) → pour_to_entity(chemistry_tube_0, beaker_0) → place(chemistry_tube_0) → pick(beaker_0) → pour_to_entity(beaker_0, graduated_cylinder_0)</t>
  </si>
  <si>
    <t>three_stage_small_beaker_via_flask_and_medium_cylinder_to_small_beaker</t>
  </si>
  <si>
    <t>Pick up the small beaker which contains CuSO4 solution, and pour the solution into flask, then pick the flask and pour the solution from flask into medium cylinder, then pick the medium cylinder and pour the solution from medium cylinder into another small beaker.</t>
  </si>
  <si>
    <t>small_beaker_0; flask_0; medium_cylinder_0; small_beaker_1; CuSO4_solution_0</t>
  </si>
  <si>
    <t>pick(beaker_0) → pour_to_entity(beaker_0, flask_0) → place(beaker_0) → pick(flask_0) → pour_to_entity(flask_0, graduated_cylinder_0) → place(flask_0) → pick(graduated_cylinder_0) → pour_to_entity(graduated_cylinder_0, beaker_1)</t>
  </si>
  <si>
    <t>three_stage_tube_via_small_beaker_and_flask_to_medium_cylinder</t>
  </si>
  <si>
    <t>Pick up the tube which contains FeCl2 solution, and pour the solution into small beaker, then pick the small beaker and pour the solution from small beaker into flask, then pick the flask and pour the solution from flask into medium cylinder.</t>
  </si>
  <si>
    <t>chemistry_tube_0; small_beaker_0; flask_0; medium_cylinder_0; FeCl2_solution_0</t>
  </si>
  <si>
    <t>pick(chemistry_tube_0) → pour_to_entity(chemistry_tube_0, beaker_0) → place(chemistry_tube_0) → pick(beaker_0) → pour_to_entity(beaker_0, flask_0) → place(beaker_0) → pick(flask_0) → pour_to_entity(flask_0, graduated_cylinder_0)</t>
  </si>
  <si>
    <t>three_stage_flask_via_small_beaker_and_medium_cylinder_to_tube</t>
  </si>
  <si>
    <t>Pick up the flask which contains FeCl2 solution, and pour the solution into small beaker, then pick the small beaker and pour the solution from small beaker into medium cylinder, then pick the medium cylinder and pour the solution from medium cylinder into tube.</t>
  </si>
  <si>
    <t>flask_0; small_beaker_0; medium_cylinder_0; chemistry_tube_0; FeCl2_solution_0</t>
  </si>
  <si>
    <t>pick(flask_0) → pour_to_entity(flask_0, beaker_0) → place(flask_0) → pick(beaker_0) → pour_to_entity(beaker_0, graduated_cylinder_0) → place(beaker_0) → pick(graduated_cylinder_0) → pour_to_entity(graduated_cylinder_0, chemistry_tube_0)</t>
  </si>
  <si>
    <t>three_stage_medium_cylinder_via_flask_and_tube_to_petridish</t>
  </si>
  <si>
    <t>Pick up the medium cylinder which contains KMnO4 solution, and pour the solution into flask, then pick the flask and pour the solution from flask into tube, then pick the tube and pour the solution from tube into petri dish.</t>
  </si>
  <si>
    <t>medium_cylinder_0; flask_0; chemistry_tube_0; petri_dish_0; KMnO4_solution_0</t>
  </si>
  <si>
    <t>pick(graduated_cylinder_0) → pour_to_entity(graduated_cylinder_0, flask_0) → place(graduated_cylinder_0) → pick(flask_0) → pour_to_entity(flask_0, chemistry_tube_0) → place(flask_0) → pick(chemistry_tube_0) → pour_to_entity(chemistry_tube_0, petri_dish_0)</t>
  </si>
  <si>
    <t>three_stage_tube_via_medium_cylinder_and_small_beaker_to_petridish</t>
  </si>
  <si>
    <t>Pick up the tube which contains CuSO4 solution, and pour the solution into medium cylinder, then pick the medium cylinder and pour the solution from medium cylinder into small beaker, then pick the small beaker and pour the solution from small beaker into petri dish.</t>
  </si>
  <si>
    <t>chemistry_tube_0; medium_cylinder_0; small_beaker_0; petri_dish_0; CuSO4_solution_0</t>
  </si>
  <si>
    <t>pick(chemistry_tube_0) → pour_to_entity(chemistry_tube_0, graduated_cylinder_0) → place(chemistry_tube_0) → pick(graduated_cylinder_0) → pour_to_entity(graduated_cylinder_0, beaker_0) → place(graduated_cylinder_0) → pick(beaker_0) → pour_to_entity(beaker_0, petri_dish_0)</t>
  </si>
  <si>
    <t>three_stage_small_beaker_via_tube_and_flask_to_medium_cylinder</t>
  </si>
  <si>
    <t>Pick up the small beaker which contains FeCl2 solution, and pour the solution into tube, then pick the tube and pour the solution from tube into flask, then pick the flask and pour the solution from flask into medium cylinder.</t>
  </si>
  <si>
    <t>small_beaker_0; chemistry_tube_0; flask_0; medium_cylinder_0; FeCl2_solution_0</t>
  </si>
  <si>
    <t>pick(beaker_0) → pour_to_entity(beaker_0, chemistry_tube_0) → place(beaker_0) → pick(chemistry_tube_0) → pour_to_entity(chemistry_tube_0, flask_0) → place(chemistry_tube_0) → pick(flask_0) → pour_to_entity(flask_0, graduated_cylinder_0)</t>
  </si>
  <si>
    <t>ordered_converge_small_beaker_and_flask_into_small_beaker</t>
  </si>
  <si>
    <t>Pick up the small beaker which contains CuSO4 solution, and pour the solution into another small beaker, then pick the flask which contains FeCl2 solution and pour the solution from flask into the same small beaker.</t>
  </si>
  <si>
    <t>small_beaker_0; flask_0; small_beaker_1; CuSO4_solution_0; FeCl2_solution_1</t>
  </si>
  <si>
    <t>pick(beaker_0) → pour_to_entity(beaker_0, beaker_1) → place(beaker_0) → pick(flask_0) → pour_to_entity(flask_0, beaker_1)</t>
  </si>
  <si>
    <t>ordered_converge_two_tubes_into_small_beaker</t>
  </si>
  <si>
    <t>Pick up the tube which contains FeCl2 solution, and pour the solution into small beaker, then pick another tube which contains KMnO4 solution and pour the solution into the same small beaker.</t>
  </si>
  <si>
    <t>chemistry_tube_0; chemistry_tube_1; small_beaker_0; FeCl2_solution_0; KMnO4_solution_1</t>
  </si>
  <si>
    <t>pick(chemistry_tube_0) → pour_to_entity(chemistry_tube_0, beaker_0) → place(chemistry_tube_0) → pick(chemistry_tube_1) → pour_to_entity(chemistry_tube_1, beaker_0)</t>
  </si>
  <si>
    <t>ordered_converge_medium_cylinder_and_tube_into_flask</t>
  </si>
  <si>
    <t>Pick up the medium cylinder which contains CuSO4 solution, and pour the solution into flask, then pick the tube which contains FeCl2 solution and pour the solution into the same flask.</t>
  </si>
  <si>
    <t>medium_cylinder_0; chemistry_tube_0; flask_0; CuSO4_solution_0; FeCl2_solution_1</t>
  </si>
  <si>
    <t>pick(graduated_cylinder_0) → pour_to_entity(graduated_cylinder_0, flask_0) → place(graduated_cylinder_0) → pick(chemistry_tube_0) → pour_to_entity(chemistry_tube_0, flask_0)</t>
  </si>
  <si>
    <t>ordered_converge_small_beaker_and_medium_cylinder_into_petridish</t>
  </si>
  <si>
    <t>Pick up the small beaker which contains KMnO4 solution, and pour the solution into petri dish, then pick the medium cylinder which contains FeCl2 solution and pour the solution into the same petri dish.</t>
  </si>
  <si>
    <t>small_beaker_0; medium_cylinder_0; petri_dish_0; KMnO4_solution_0; FeCl2_solution_1</t>
  </si>
  <si>
    <t>pick(beaker_0) → pour_to_entity(beaker_0, petri_dish_0) → place(beaker_0) → pick(graduated_cylinder_0) → pour_to_entity(graduated_cylinder_0, petri_dish_0)</t>
  </si>
  <si>
    <t>ordered_converge_two_flasks_into_medium_cylinder</t>
  </si>
  <si>
    <t>Pick up the flask which contains CuSO4 solution, and pour the solution into medium cylinder, then pick another flask which contains KMnO4 solution and pour the solution into the same medium cylinder.</t>
  </si>
  <si>
    <t>flask_0; flask_1; medium_cylinder_0; CuSO4_solution_0; KMnO4_solution_1</t>
  </si>
  <si>
    <t>pick(flask_0) → pour_to_entity(flask_0, graduated_cylinder_0) → place(flask_0) → pick(flask_1) → pour_to_entity(flask_1, graduated_cylinder_0)</t>
  </si>
  <si>
    <t>ordered_converge_small_beaker_and_tube_into_flask</t>
  </si>
  <si>
    <t>Pick up the small beaker which contains FeCl2 solution, and pour the solution into flask, then pick the tube which contains CuSO4 solution and pour the solution into the same flask.</t>
  </si>
  <si>
    <t>small_beaker_0; chemistry_tube_0; flask_0; FeCl2_solution_0; CuSO4_solution_1</t>
  </si>
  <si>
    <t>pick(beaker_0) → pour_to_entity(beaker_0, flask_0) → place(beaker_0) → pick(chemistry_tube_0) → pour_to_entity(chemistry_tube_0, flask_0)</t>
  </si>
  <si>
    <t>10个去重任务结构；材料仅作为绑定，不作为独立任务计数 / 10 deduplicated task structures; material bindings are not counted as separate tasks</t>
  </si>
  <si>
    <t>pour_flask_into_small_beaker_mechanical_pipette_small_beaker_to_medium_cylinder</t>
  </si>
  <si>
    <t>Pick up the flask containing FeCl2 solution and pour it into the small beaker. Place the flask, then use the mechanical pipette to aspirate from the small beaker and dispense into the medium cylinder.</t>
  </si>
  <si>
    <t>flask_0; small_beaker_0; medium_cylinder_0; mechanical_pipette_0; FeCl2_solution_0</t>
  </si>
  <si>
    <t>pick(flask_0) → pour_to_entity(flask_0, small_beaker_0) → place(flask_0) → pick(mechanical_pipette_0) → moveto_entity(mechanical_pipette_0, small_beaker_0) → aspirate(mechanical_pipette_0, small_beaker_0) → moveto_entity(mechanical_pipette_0, graduated_cylinder_0) → dispense(mechanical_pipette_0, graduated_cylinder_0)</t>
  </si>
  <si>
    <t>pour_tube_into_large_beaker_mechanical_pipette_large_beaker_to_flask</t>
  </si>
  <si>
    <t>Pick up the tube containing KMnO4 solution and pour it into the large beaker. Place the tube, then use the mechanical pipette to aspirate from the large beaker and dispense into the flask.</t>
  </si>
  <si>
    <t>chemistry_tube_0; large_beaker_0; flask_0; mechanical_pipette_0; KMnO4_solution_0</t>
  </si>
  <si>
    <t>pick(chemistry_tube_0) → pour_to_entity(chemistry_tube_0, large_beaker_0) → place(chemistry_tube_0) → pick(mechanical_pipette_0) → moveto_entity(mechanical_pipette_0, large_beaker_0) → aspirate(mechanical_pipette_0, large_beaker_0) → moveto_entity(mechanical_pipette_0, flask_0) → dispense(mechanical_pipette_0, flask_0)</t>
  </si>
  <si>
    <t>pour_medium_cylinder_into_small_beaker_mechanical_pipette_small_beaker_to_tube</t>
  </si>
  <si>
    <t>Pick up the medium cylinder containing FeCl2 solution and pour it into the small beaker. Place the medium cylinder, then use the mechanical pipette to aspirate from the small beaker and dispense into the tube.</t>
  </si>
  <si>
    <t>medium_cylinder_0; small_beaker_0; chemistry_tube_0; mechanical_pipette_0; FeCl2_solution_0</t>
  </si>
  <si>
    <t>pick(graduated_cylinder_0) → pour_to_entity(graduated_cylinder_0, small_beaker_0) → place(graduated_cylinder_0) → pick(mechanical_pipette_0) → moveto_entity(mechanical_pipette_0, small_beaker_0) → aspirate(mechanical_pipette_0, small_beaker_0) → moveto_entity(mechanical_pipette_0, chemistry_tube_0) → dispense(mechanical_pipette_0, chemistry_tube_0)</t>
  </si>
  <si>
    <t>pour_tube_into_large_beaker_pipette_large_beaker_to_medium_cylinder</t>
  </si>
  <si>
    <t>Pick up the tube containing FeCl2 solution and pour it into the large beaker. Place the tube, then use the pipette to aspirate from the large beaker and dispense into the medium cylinder.</t>
  </si>
  <si>
    <t>chemistry_tube_0; large_beaker_0; medium_cylinder_0; pipette_0; FeCl2_solution_0</t>
  </si>
  <si>
    <t>pick(chemistry_tube_0) → pour_to_entity(chemistry_tube_0, large_beaker_0) → place(chemistry_tube_0) → pick(pipette_0) → moveto_entity(pipette_0, large_beaker_0) → aspirate(pipette_0, large_beaker_0) → moveto_entity(pipette_0, graduated_cylinder_0) → dispense(pipette_0, graduated_cylinder_0)</t>
  </si>
  <si>
    <t>pour_flask_into_small_beaker_pipette_small_beaker_to_tube</t>
  </si>
  <si>
    <t>Pick up the flask containing KMnO4 solution and pour it into the small beaker. Place the flask, then use the pipette to aspirate from the small beaker and dispense into the tube.</t>
  </si>
  <si>
    <t>flask_0; small_beaker_0; chemistry_tube_0; pipette_0; KMnO4_solution_0</t>
  </si>
  <si>
    <t>pick(flask_0) → pour_to_entity(flask_0, small_beaker_0) → place(flask_0) → pick(pipette_0) → moveto_entity(pipette_0, small_beaker_0) → aspirate(pipette_0, small_beaker_0) → moveto_entity(pipette_0, chemistry_tube_0) → dispense(pipette_0, chemistry_tube_0)</t>
  </si>
  <si>
    <t>mechanical_pipette_large_beaker_to_flask_pour_flask_into_tube</t>
  </si>
  <si>
    <t>Use the mechanical pipette to aspirate FeCl2 solution from the large beaker and dispense it into the flask. Place the mechanical pipette, then pick up the flask and pour the solution into the tube.</t>
  </si>
  <si>
    <t>mechanical_pipette_0; large_beaker_0; flask_0; chemistry_tube_0; FeCl2_solution_0</t>
  </si>
  <si>
    <t>pick(mechanical_pipette_0) → moveto_entity(mechanical_pipette_0, large_beaker_0) → aspirate(mechanical_pipette_0, large_beaker_0) → moveto_entity(mechanical_pipette_0, flask_0) → dispense(mechanical_pipette_0, flask_0) → place(mechanical_pipette_0) → pick(flask_0) → pour_to_entity(flask_0, chemistry_tube_0)</t>
  </si>
  <si>
    <t>pour_flask_into_small_beaker_pipette_small_beaker_to_petridish</t>
  </si>
  <si>
    <t>Pick up the flask containing CuSO4 solution and pour it into the small beaker. Place the flask, then use the pipette to aspirate from the small beaker and dispense into the petri dish.</t>
  </si>
  <si>
    <t>flask_0; small_beaker_0; pipette_0; petri_dish_0; CuSO4_solution_0</t>
  </si>
  <si>
    <t>pick(flask_0) → pour_to_entity(flask_0, small_beaker_0) → place(flask_0) → pick(pipette_0) → moveto_entity(pipette_0, small_beaker_0) → aspirate(pipette_0, small_beaker_0) → moveto_entity(pipette_0, petri_dish_0) → dispense(pipette_0, petri_dish_0)</t>
  </si>
  <si>
    <t>pour_medium_cylinder_into_large_beaker_mechanical_pipette_large_beaker_to_petridish</t>
  </si>
  <si>
    <t>Pick up the medium cylinder containing KMnO4 solution and pour it into the large beaker. Place the medium cylinder, then use the mechanical pipette to aspirate from the large beaker and dispense into the petri dish.</t>
  </si>
  <si>
    <t>medium_cylinder_0; large_beaker_0; mechanical_pipette_0; petri_dish_0; KMnO4_solution_0</t>
  </si>
  <si>
    <t>pick(graduated_cylinder_0) → pour_to_entity(graduated_cylinder_0, large_beaker_0) → place(graduated_cylinder_0) → pick(mechanical_pipette_0) → moveto_entity(mechanical_pipette_0, large_beaker_0) → aspirate(mechanical_pipette_0, large_beaker_0) → moveto_entity(mechanical_pipette_0, petri_dish_0) → dispense(mechanical_pipette_0, petri_dish_0)</t>
  </si>
  <si>
    <t>pipette_small_beaker_to_flask_pour_flask_into_medium_cylinder</t>
  </si>
  <si>
    <t>Use the pipette to aspirate CuSO4 solution from the small beaker and dispense it into the flask. Place the pipette, then pick up the flask and pour the solution into the medium cylinder.</t>
  </si>
  <si>
    <t>pipette_0; small_beaker_0; flask_0; medium_cylinder_0; CuSO4_solution_0</t>
  </si>
  <si>
    <t>pick(pipette_0) → moveto_entity(pipette_0, small_beaker_0) → aspirate(pipette_0, small_beaker_0) → moveto_entity(pipette_0, flask_0) → dispense(pipette_0, flask_0) → place(pipette_0) → pick(flask_0) → pour_to_entity(flask_0, graduated_cylinder_0)</t>
  </si>
  <si>
    <t>mechanical_pipette_large_beaker_to_medium_cylinder_pour_medium_cylinder_into_tube</t>
  </si>
  <si>
    <t>Use the mechanical pipette to aspirate FeCl2 solution from the large beaker and dispense it into the medium cylinder. Place the mechanical pipette, then pick up the medium cylinder and pour the solution into the tube.</t>
  </si>
  <si>
    <t>mechanical_pipette_0; large_beaker_0; medium_cylinder_0; chemistry_tube_0; FeCl2_solution_0</t>
  </si>
  <si>
    <t>pick(mechanical_pipette_0) → moveto_entity(mechanical_pipette_0, large_beaker_0) → aspirate(mechanical_pipette_0, large_beaker_0) → moveto_entity(mechanical_pipette_0, graduated_cylinder_0) → dispense(mechanical_pipette_0, graduated_cylinder_0) → place(mechanical_pipette_0) → pick(graduated_cylinder_0) → pour_to_entity(graduated_cylinder_0, chemistry_tube_0)</t>
  </si>
  <si>
    <t>pour_flask_into_small_beaker_mechanical_pipette_small_beaker_to_two_tubes</t>
  </si>
  <si>
    <t>Pick up the flask which contains CuSO4 solution, and pour the solution into small beaker, then pick up mechanical pipette and aspirate the solution from small beaker, then dispense the solution to one tube. Repeat the aspirate-dispense cycle to transfer the solution from small beaker to another tube.</t>
  </si>
  <si>
    <t>flask_0; small_beaker_0; chemistry_tube_0; chemistry_tube_1; mechanical_pipette_0; CuSO4_solution_0</t>
  </si>
  <si>
    <t>pick(flask_0) → pour_to_entity(flask_0, small_beaker_0) → place(flask_0) → pick(mechanical_pipette_0) → moveto_entity(mechanical_pipette_0, small_beaker_0) → aspirate(mechanical_pipette_0, small_beaker_0) → moveto_entity(mechanical_pipette_0, chemistry_tube_0) → dispense(mechanical_pipette_0, chemistry_tube_0) → moveto_entity(mechanical_pipette_0, small_beaker_0) → aspirate(mechanical_pipette_0, small_beaker_0) → moveto_entity(mechanical_pipette_0, chemistry_tube_1) → dispense(mechanical_pipette_0, chemistry_tube_1)</t>
  </si>
  <si>
    <t>pour_small_beaker_into_large_beaker_mechanical_pipette_large_beaker_to_tube_and_cylinder</t>
  </si>
  <si>
    <t>Pick up the small beaker which contains FeCl2 solution, and pour the solution into large beaker, then pick up mechanical pipette and aspirate the solution from large beaker, then dispense the solution to tube. Repeat the aspirate-dispense cycle to transfer the solution from large beaker to cylinder.</t>
  </si>
  <si>
    <t>small_beaker_0; large_beaker_0; chemistry_tube_0; graduated_cylinder_0; mechanical_pipette_0; FeCl2_solution_0</t>
  </si>
  <si>
    <t>pick(small_beaker_0) → pour_to_entity(small_beaker_0, large_beaker_0) → place(small_beaker_0) → pick(mechanical_pipette_0) → moveto_entity(mechanical_pipette_0, large_beaker_0) → aspirate(mechanical_pipette_0, large_beaker_0) → moveto_entity(mechanical_pipette_0, chemistry_tube_0) → dispense(mechanical_pipette_0, chemistry_tube_0) → moveto_entity(mechanical_pipette_0, large_beaker_0) → aspirate(mechanical_pipette_0, large_beaker_0) → moveto_entity(mechanical_pipette_0, graduated_cylinder_0) → dispense(mechanical_pipette_0, graduated_cylinder_0)</t>
  </si>
  <si>
    <t>pour_cylinder_into_large_beaker_mechanical_pipette_large_beaker_to_two_tubes_and_flask</t>
  </si>
  <si>
    <t>Pick up the cylinder which contains KMnO4 solution, and pour the solution into large beaker, then pick up mechanical pipette and aspirate the solution from large beaker, then dispense the solution to one tube. Repeat the aspirate-dispense cycle to transfer the solution from large beaker to another tube, then repeat the cycle once more to transfer the solution from large beaker to flask.</t>
  </si>
  <si>
    <t>graduated_cylinder_0; large_beaker_0; chemistry_tube_0; chemistry_tube_1; flask_0; mechanical_pipette_0; KMnO4_solution_0</t>
  </si>
  <si>
    <t>pick(graduated_cylinder_0) → pour_to_entity(graduated_cylinder_0, large_beaker_0) → place(graduated_cylinder_0) → pick(mechanical_pipette_0) → moveto_entity(mechanical_pipette_0, large_beaker_0) → aspirate(mechanical_pipette_0, large_beaker_0) → moveto_entity(mechanical_pipette_0, chemistry_tube_0) → dispense(mechanical_pipette_0, chemistry_tube_0) → moveto_entity(mechanical_pipette_0, large_beaker_0) → aspirate(mechanical_pipette_0, large_beaker_0) → moveto_entity(mechanical_pipette_0, chemistry_tube_1) → dispense(mechanical_pipette_0, chemistry_tube_1) → moveto_entity(mechanical_pipette_0, large_beaker_0) → aspirate(mechanical_pipette_0, large_beaker_0) → moveto_entity(mechanical_pipette_0, flask_0) → dispense(mechanical_pipette_0, flask_0)</t>
  </si>
  <si>
    <t>pour_tube_into_large_beaker_mechanical_pipette_large_beaker_to_flask_cylinder_and_tube</t>
  </si>
  <si>
    <t>Pick up the tube which contains CuSO4 solution, and pour the solution into large beaker, then pick up mechanical pipette and aspirate the solution from large beaker, then dispense the solution to flask. Repeat the aspirate-dispense cycle to transfer the solution from large beaker to cylinder, then repeat the cycle once more to transfer the solution from large beaker to another tube.</t>
  </si>
  <si>
    <t>chemistry_tube_0; large_beaker_0; flask_0; graduated_cylinder_0; chemistry_tube_1; mechanical_pipette_0; CuSO4_solution_0</t>
  </si>
  <si>
    <t>pick(chemistry_tube_0) → pour_to_entity(chemistry_tube_0, large_beaker_0) → place(chemistry_tube_0) → pick(mechanical_pipette_0) → moveto_entity(mechanical_pipette_0, large_beaker_0) → aspirate(mechanical_pipette_0, large_beaker_0) → moveto_entity(mechanical_pipette_0, flask_0) → dispense(mechanical_pipette_0, flask_0) → moveto_entity(mechanical_pipette_0, large_beaker_0) → aspirate(mechanical_pipette_0, large_beaker_0) → moveto_entity(mechanical_pipette_0, graduated_cylinder_0) → dispense(mechanical_pipette_0, graduated_cylinder_0) → moveto_entity(mechanical_pipette_0, large_beaker_0) → aspirate(mechanical_pipette_0, large_beaker_0) → moveto_entity(mechanical_pipette_0, chemistry_tube_1) → dispense(mechanical_pipette_0, chemistry_tube_1)</t>
  </si>
  <si>
    <t>pour_flask_into_small_beaker_pipette_small_beaker_to_two_tubes</t>
  </si>
  <si>
    <t>Pick up the flask which contains FeCl2 solution, and pour the solution into small beaker, then pick up pipette and aspirate the solution from small beaker, then dispense the solution to one tube. Repeat the aspirate-dispense cycle to transfer the solution from small beaker to another tube.</t>
  </si>
  <si>
    <t>flask_0; small_beaker_0; chemistry_tube_0; chemistry_tube_1; pipette_0; FeCl2_solution_0</t>
  </si>
  <si>
    <t>pick(flask_0) → pour_to_entity(flask_0, small_beaker_0) → place(flask_0) → pick(pipette_0) → moveto_entity(pipette_0, small_beaker_0) → aspirate(pipette_0, small_beaker_0) → moveto_entity(pipette_0, chemistry_tube_0) → dispense(pipette_0, chemistry_tube_0) → moveto_entity(pipette_0, small_beaker_0) → aspirate(pipette_0, small_beaker_0) → moveto_entity(pipette_0, chemistry_tube_1) → dispense(pipette_0, chemistry_tube_1)</t>
  </si>
  <si>
    <t>pour_small_beaker_into_large_beaker_pipette_large_beaker_to_tube_and_cylinder</t>
  </si>
  <si>
    <t>Pick up the small beaker which contains KMnO4 solution, and pour the solution into large beaker, then pick up pipette and aspirate the solution from large beaker, then dispense the solution to tube. Repeat the aspirate-dispense cycle to transfer the solution from large beaker to cylinder.</t>
  </si>
  <si>
    <t>small_beaker_0; large_beaker_0; chemistry_tube_0; graduated_cylinder_0; pipette_0; KMnO4_solution_0</t>
  </si>
  <si>
    <t>pick(small_beaker_0) → pour_to_entity(small_beaker_0, large_beaker_0) → place(small_beaker_0) → pick(pipette_0) → moveto_entity(pipette_0, large_beaker_0) → aspirate(pipette_0, large_beaker_0) → moveto_entity(pipette_0, chemistry_tube_0) → dispense(pipette_0, chemistry_tube_0) → moveto_entity(pipette_0, large_beaker_0) → aspirate(pipette_0, large_beaker_0) → moveto_entity(pipette_0, graduated_cylinder_0) → dispense(pipette_0, graduated_cylinder_0)</t>
  </si>
  <si>
    <t>pour_cylinder_into_large_beaker_pipette_large_beaker_to_two_tubes_and_flask</t>
  </si>
  <si>
    <t>Pick up the cylinder which contains CuSO4 solution, and pour the solution into large beaker, then pick up pipette and aspirate the solution from large beaker, then dispense the solution to one tube. Repeat the aspirate-dispense cycle to transfer the solution from large beaker to another tube, then repeat the cycle once more to transfer the solution from large beaker to flask.</t>
  </si>
  <si>
    <t>graduated_cylinder_0; large_beaker_0; chemistry_tube_0; chemistry_tube_1; flask_0; pipette_0; CuSO4_solution_0</t>
  </si>
  <si>
    <t>pick(graduated_cylinder_0) → pour_to_entity(graduated_cylinder_0, large_beaker_0) → place(graduated_cylinder_0) → pick(pipette_0) → moveto_entity(pipette_0, large_beaker_0) → aspirate(pipette_0, large_beaker_0) → moveto_entity(pipette_0, chemistry_tube_0) → dispense(pipette_0, chemistry_tube_0) → moveto_entity(pipette_0, large_beaker_0) → aspirate(pipette_0, large_beaker_0) → moveto_entity(pipette_0, chemistry_tube_1) → dispense(pipette_0, chemistry_tube_1) → moveto_entity(pipette_0, large_beaker_0) → aspirate(pipette_0, large_beaker_0) → moveto_entity(pipette_0, flask_0) → dispense(pipette_0, flask_0)</t>
  </si>
  <si>
    <t>pour_tube_into_large_beaker_pipette_large_beaker_to_flask_cylinder_and_tube</t>
  </si>
  <si>
    <t>Pick up the tube which contains FeCl2 solution, and pour the solution into large beaker, then pick up pipette and aspirate the solution from large beaker, then dispense the solution to flask. Repeat the aspirate-dispense cycle to transfer the solution from large beaker to cylinder, then repeat the cycle once more to transfer the solution from large beaker to another tube.</t>
  </si>
  <si>
    <t>chemistry_tube_0; large_beaker_0; flask_0; graduated_cylinder_0; chemistry_tube_1; pipette_0; FeCl2_solution_0</t>
  </si>
  <si>
    <t>pick(chemistry_tube_0) → pour_to_entity(chemistry_tube_0, large_beaker_0) → place(chemistry_tube_0) → pick(pipette_0) → moveto_entity(pipette_0, large_beaker_0) → aspirate(pipette_0, large_beaker_0) → moveto_entity(pipette_0, flask_0) → dispense(pipette_0, flask_0) → moveto_entity(pipette_0, large_beaker_0) → aspirate(pipette_0, large_beaker_0) → moveto_entity(pipette_0, graduated_cylinder_0) → dispense(pipette_0, graduated_cylinder_0) → moveto_entity(pipette_0, large_beaker_0) → aspirate(pipette_0, large_beaker_0) → moveto_entity(pipette_0, chemistry_tube_1) → dispense(pipette_0, chemistry_tube_1)</t>
  </si>
  <si>
    <t>ordered_addition_two_stage_small_beaker_then_mechanical_pipette_large_beaker_into_flask</t>
  </si>
  <si>
    <t>Pick up the small beaker which contains CuSO4 solution, and pour the solution into flask, then pick up mechanical pipette and aspirate FeCl2 solution from large beaker, then dispense the solution to the same flask.</t>
  </si>
  <si>
    <t>small_beaker_0; flask_0; large_beaker_0; mechanical_pipette_0; CuSO4_solution_0; FeCl2_solution_1</t>
  </si>
  <si>
    <t>pick(small_beaker_0) → pour_to_entity(small_beaker_0, flask_0) → place(small_beaker_0) → pick(mechanical_pipette_0) → moveto_entity(mechanical_pipette_0, large_beaker_0) → aspirate(mechanical_pipette_0, large_beaker_0) → moveto_entity(mechanical_pipette_0, flask_0) → dispense(mechanical_pipette_0, flask_0)</t>
  </si>
  <si>
    <t>ordered_addition_two_stage_mechanical_pipette_small_beaker_then_large_beaker_into_flask</t>
  </si>
  <si>
    <t>Pick up mechanical pipette and aspirate FeCl2 solution from small beaker, then dispense the solution to flask, then pick up the large beaker which contains KMnO4 solution, and pour the solution into the same flask.</t>
  </si>
  <si>
    <t>mechanical_pipette_0; small_beaker_0; flask_0; large_beaker_0; FeCl2_solution_0; KMnO4_solution_1</t>
  </si>
  <si>
    <t>pick(mechanical_pipette_0) → moveto_entity(mechanical_pipette_0, small_beaker_0) → aspirate(mechanical_pipette_0, small_beaker_0) → moveto_entity(mechanical_pipette_0, flask_0) → dispense(mechanical_pipette_0, flask_0) → place(mechanical_pipette_0) → pick(large_beaker_0) → pour_to_entity(large_beaker_0, flask_0)</t>
  </si>
  <si>
    <t>ordered_addition_two_stage_flask_then_pipette_small_beaker_into_large_beaker</t>
  </si>
  <si>
    <t>Pick up the flask which contains KMnO4 solution, and pour the solution into large beaker, then pick up pipette and aspirate CuSO4 solution from small beaker, then dispense the solution to the same large beaker.</t>
  </si>
  <si>
    <t>flask_0; large_beaker_0; pipette_0; small_beaker_0; KMnO4_solution_0; CuSO4_solution_1</t>
  </si>
  <si>
    <t>pick(flask_0) → pour_to_entity(flask_0, large_beaker_0) → place(flask_0) → pick(pipette_0) → moveto_entity(pipette_0, small_beaker_0) → aspirate(pipette_0, small_beaker_0) → moveto_entity(pipette_0, large_beaker_0) → dispense(pipette_0, large_beaker_0)</t>
  </si>
  <si>
    <t>ordered_addition_two_stage_pipette_small_beaker_then_flask_into_large_beaker</t>
  </si>
  <si>
    <t>Pick up pipette and aspirate CuSO4 solution from small beaker, then dispense the solution to large beaker, then pick up the flask which contains FeCl2 solution, and pour the solution into the same large beaker.</t>
  </si>
  <si>
    <t>pipette_0; small_beaker_0; large_beaker_0; flask_0; CuSO4_solution_0; FeCl2_solution_1</t>
  </si>
  <si>
    <t>pick(pipette_0) → moveto_entity(pipette_0, small_beaker_0) → aspirate(pipette_0, small_beaker_0) → moveto_entity(pipette_0, large_beaker_0) → dispense(pipette_0, large_beaker_0) → place(pipette_0) → pick(flask_0) → pour_to_entity(flask_0, large_beaker_0)</t>
  </si>
  <si>
    <t>ordered_addition_three_stage_cylinder_then_mechanical_pipette_small_beaker_then_pipette_large_beaker_into_flask</t>
  </si>
  <si>
    <t>Pick up the cylinder which contains FeCl2 solution, and pour the solution into flask, then pick up mechanical pipette and aspirate KMnO4 solution from small beaker, then dispense the solution to the same flask, then pick up pipette and aspirate CuSO4 solution from large beaker, then dispense the solution to the same flask.</t>
  </si>
  <si>
    <t>graduated_cylinder_0; flask_0; mechanical_pipette_0; small_beaker_0; pipette_0; large_beaker_0; FeCl2_solution_0; KMnO4_solution_1; CuSO4_solution_2</t>
  </si>
  <si>
    <t>pick(graduated_cylinder_0) → pour_to_entity(graduated_cylinder_0, flask_0) → place(graduated_cylinder_0) → pick(mechanical_pipette_0) → moveto_entity(mechanical_pipette_0, small_beaker_0) → aspirate(mechanical_pipette_0, small_beaker_0) → moveto_entity(mechanical_pipette_0, flask_0) → dispense(mechanical_pipette_0, flask_0) → place(mechanical_pipette_0) → pick(pipette_0) → moveto_entity(pipette_0, large_beaker_0) → aspirate(pipette_0, large_beaker_0) → moveto_entity(pipette_0, flask_0) → dispense(pipette_0, flask_0)</t>
  </si>
  <si>
    <t>ordered_addition_three_stage_mechanical_pipette_small_beaker_then_flask_then_pipette_large_beaker_into_cylinder</t>
  </si>
  <si>
    <t>Pick up mechanical pipette and aspirate KMnO4 solution from small beaker, then dispense the solution to cylinder, then pick up the flask which contains CuSO4 solution, and pour the solution into the same cylinder, then pick up pipette and aspirate FeCl2 solution from large beaker, then dispense the solution to the same cylinder.</t>
  </si>
  <si>
    <t>mechanical_pipette_0; small_beaker_0; graduated_cylinder_0; flask_0; pipette_0; large_beaker_0; KMnO4_solution_0; CuSO4_solution_1; FeCl2_solution_2</t>
  </si>
  <si>
    <t>pick(mechanical_pipette_0) → moveto_entity(mechanical_pipette_0, small_beaker_0) → aspirate(mechanical_pipette_0, small_beaker_0) → moveto_entity(mechanical_pipette_0, graduated_cylinder_0) → dispense(mechanical_pipette_0, graduated_cylinder_0) → place(mechanical_pipette_0) → pick(flask_0) → pour_to_entity(flask_0, graduated_cylinder_0) → place(flask_0) → pick(pipette_0) → moveto_entity(pipette_0, large_beaker_0) → aspirate(pipette_0, large_beaker_0) → moveto_entity(pipette_0, graduated_cylinder_0) → dispense(pipette_0, graduated_cylinder_0)</t>
  </si>
  <si>
    <t>ordered_addition_three_stage_small_beaker_then_flask_then_mechanical_pipette_large_beaker_into_cylinder</t>
  </si>
  <si>
    <t>Pick up the small beaker which contains CuSO4 solution, and pour the solution into cylinder, then pick up the flask which contains FeCl2 solution, and pour the solution into the same cylinder, then pick up mechanical pipette and aspirate KMnO4 solution from large beaker, then dispense the solution to the same cylinder.</t>
  </si>
  <si>
    <t>small_beaker_0; graduated_cylinder_0; flask_0; mechanical_pipette_0; large_beaker_0; CuSO4_solution_0; FeCl2_solution_1; KMnO4_solution_2</t>
  </si>
  <si>
    <t>pick(small_beaker_0) → pour_to_entity(small_beaker_0, graduated_cylinder_0) → place(small_beaker_0) → pick(flask_0) → pour_to_entity(flask_0, graduated_cylinder_0) → place(flask_0) → pick(mechanical_pipette_0) → moveto_entity(mechanical_pipette_0, large_beaker_0) → aspirate(mechanical_pipette_0, large_beaker_0) → moveto_entity(mechanical_pipette_0, graduated_cylinder_0) → dispense(mechanical_pipette_0, graduated_cylinder_0)</t>
  </si>
  <si>
    <t>ordered_addition_three_stage_pipette_small_beaker_then_flask_then_mechanical_pipette_another_small_beaker_into_large_beaker</t>
  </si>
  <si>
    <t>Pick up pipette and aspirate FeCl2 solution from one small beaker, then dispense the solution to large beaker, then pick up the flask which contains KMnO4 solution, and pour the solution into the same large beaker, then pick up mechanical pipette and aspirate CuSO4 solution from another small beaker, then dispense the solution to the same large beaker.</t>
  </si>
  <si>
    <t>pipette_0; small_beaker_0; large_beaker_0; flask_0; mechanical_pipette_0; small_beaker_1; FeCl2_solution_0; KMnO4_solution_1; CuSO4_solution_2</t>
  </si>
  <si>
    <t>pick(pipette_0) → moveto_entity(pipette_0, small_beaker_0) → aspirate(pipette_0, small_beaker_0) → moveto_entity(pipette_0, large_beaker_0) → dispense(pipette_0, large_beaker_0) → place(pipette_0) → pick(flask_0) → pour_to_entity(flask_0, large_beaker_0) → place(flask_0) → pick(mechanical_pipette_0) → moveto_entity(mechanical_pipette_0, small_beaker_1) → aspirate(mechanical_pipette_0, small_beaker_1) → moveto_entity(mechanical_pipette_0, large_beaker_0) → dispense(mechanical_pipette_0, large_beaker_0)</t>
  </si>
  <si>
    <t>wait_then_pour_small_beaker_to_flask</t>
  </si>
  <si>
    <t>Wait until a human adds CuSO4 solution to the small beaker. After the addition is complete, pick up the small beaker and pour the solution into the flask.</t>
  </si>
  <si>
    <t>small_beaker_0; flask_0; CuSO4_solution_0; human_liquid_addition_0</t>
  </si>
  <si>
    <t>wait_for(liquid_added_to_small_beaker_0) → pick(small_beaker_0) → pour_to_entity(small_beaker_0, flask_0)</t>
  </si>
  <si>
    <t>wait_then_mechanical_pipette_large_beaker_to_tube</t>
  </si>
  <si>
    <t>Wait until a human adds FeCl2 solution to the large beaker. After the addition is complete, use the mechanical pipette to aspirate the solution from the large beaker and dispense it into the tube.</t>
  </si>
  <si>
    <t>large_beaker_0; mechanical_pipette_0; chemistry_tube_0; FeCl2_solution_0; human_liquid_addition_0</t>
  </si>
  <si>
    <t>wait_for(liquid_added_to_large_beaker_0) → pick(mechanical_pipette_0) → moveto_entity(mechanical_pipette_0, large_beaker_0) → aspirate(mechanical_pipette_0, large_beaker_0) → moveto_entity(mechanical_pipette_0, chemistry_tube_0) → dispense(mechanical_pipette_0, chemistry_tube_0)</t>
  </si>
  <si>
    <t>wait_then_pipette_small_beaker_to_flask</t>
  </si>
  <si>
    <t>Wait until a human adds KMnO4 solution to the small beaker. After the addition is complete, use the pipette to aspirate the solution from the small beaker and dispense it into the flask.</t>
  </si>
  <si>
    <t>small_beaker_0; pipette_0; flask_0; KMnO4_solution_0; human_liquid_addition_0</t>
  </si>
  <si>
    <t>wait_for(liquid_added_to_small_beaker_0) → pick(pipette_0) → moveto_entity(pipette_0, small_beaker_0) → aspirate(pipette_0, small_beaker_0) → moveto_entity(pipette_0, flask_0) → dispense(pipette_0, flask_0)</t>
  </si>
  <si>
    <t>pour_small_beaker_to_flask_wait_then_mechanical_pipette_large_beaker_to_same_flask</t>
  </si>
  <si>
    <t>Pick up the small beaker containing CuSO4 solution and pour the solution into the flask. Place the small beaker, then wait until a human adds FeCl2 solution to the large beaker. After the addition is complete, use the mechanical pipette to aspirate the solution from the large beaker and dispense it into the same flask.</t>
  </si>
  <si>
    <t>small_beaker_0; flask_0; large_beaker_0; mechanical_pipette_0; CuSO4_solution_0; FeCl2_solution_1; human_liquid_addition_0</t>
  </si>
  <si>
    <t>pick(small_beaker_0) → pour_to_entity(small_beaker_0, flask_0) → place(small_beaker_0) → wait_for(liquid_added_to_large_beaker_0) → pick(mechanical_pipette_0) → moveto_entity(mechanical_pipette_0, large_beaker_0) → aspirate(mechanical_pipette_0, large_beaker_0) → moveto_entity(mechanical_pipette_0, flask_0) → dispense(mechanical_pipette_0, flask_0)</t>
  </si>
  <si>
    <t>pipette_small_beaker_to_flask_wait_then_pour_another_small_beaker_into_same_flask</t>
  </si>
  <si>
    <t>Use the pipette to aspirate FeCl2 solution from the small beaker and dispense it into the flask. Place the pipette, then wait until a human adds KMnO4 solution to another small beaker. After the addition is complete, pick up that small beaker and pour the solution into the same flask.</t>
  </si>
  <si>
    <t>pipette_0; small_beaker_0; flask_0; small_beaker_1; FeCl2_solution_0; KMnO4_solution_1; human_liquid_addition_0</t>
  </si>
  <si>
    <t>pick(pipette_0) → moveto_entity(pipette_0, small_beaker_0) → aspirate(pipette_0, small_beaker_0) → moveto_entity(pipette_0, flask_0) → dispense(pipette_0, flask_0) → place(pipette_0) → wait_for(liquid_added_to_small_beaker_1) → pick(small_beaker_1) → pour_to_entity(small_beaker_1, flask_0)</t>
  </si>
  <si>
    <t>two_human_additions_small_beaker_and_large_beaker_to_flask</t>
  </si>
  <si>
    <t>Wait until a human adds CuSO4 solution to the small beaker. Pour the solution into the flask and place the small beaker. Then wait until a human adds FeCl2 solution to the large beaker. After the second addition is complete, use the mechanical pipette to aspirate the solution from the large beaker and dispense it into the same flask.</t>
  </si>
  <si>
    <t>small_beaker_0; flask_0; large_beaker_0; mechanical_pipette_0; CuSO4_solution_0; FeCl2_solution_1; human_liquid_addition_0; human_liquid_addition_1</t>
  </si>
  <si>
    <t>wait_for(liquid_added_to_small_beaker_0) → pick(small_beaker_0) → pour_to_entity(small_beaker_0, flask_0) → place(small_beaker_0) → wait_for(liquid_added_to_large_beaker_0) → pick(mechanical_pipette_0) → moveto_entity(mechanical_pipette_0, large_beaker_0) → aspirate(mechanical_pipette_0, large_beaker_0) → moveto_entity(mechanical_pipette_0, flask_0) → dispense(mechanical_pipette_0, flask_0)</t>
  </si>
  <si>
    <t>build_large_beaker_reservoir_wait_then_pipette_to_two_tubes</t>
  </si>
  <si>
    <t>Pick up the flask containing KMnO4 solution and pour the solution into the large beaker. Place the flask, then wait until a human adds CuSO4 solution to the same large beaker. After the addition is complete, use the pipette to aspirate from the large beaker and dispense into one tube, then repeat the aspirate-dispense cycle to transfer to another tube.</t>
  </si>
  <si>
    <t>flask_0; large_beaker_0; pipette_0; chemistry_tube_0; chemistry_tube_1; KMnO4_solution_0; CuSO4_solution_1; human_liquid_addition_0</t>
  </si>
  <si>
    <t>pick(flask_0) → pour_to_entity(flask_0, large_beaker_0) → place(flask_0) → wait_for(liquid_added_to_large_beaker_0) → pick(pipette_0) → moveto_entity(pipette_0, large_beaker_0) → aspirate(pipette_0, large_beaker_0) → moveto_entity(pipette_0, chemistry_tube_0) → dispense(pipette_0, chemistry_tube_0) → moveto_entity(pipette_0, large_beaker_0) → aspirate(pipette_0, large_beaker_0) → moveto_entity(pipette_0, chemistry_tube_1) → dispense(pipette_0, chemistry_tube_1)</t>
  </si>
  <si>
    <t>pour_flask_to_large_beaker_wait_then_mechanical_pipette_to_tube</t>
  </si>
  <si>
    <t>Pick up the flask containing CuSO4 solution and pour the solution into the large beaker. Place the flask, then wait until a human adds FeCl2 solution to the same large beaker. After the addition is complete, use the mechanical pipette to aspirate the solution from the large beaker and dispense it into the tube.</t>
  </si>
  <si>
    <t>flask_0; large_beaker_0; mechanical_pipette_0; chemistry_tube_0; CuSO4_solution_0; FeCl2_solution_1; human_liquid_addition_0</t>
  </si>
  <si>
    <t>pick(flask_0) → pour_to_entity(flask_0, large_beaker_0) → place(flask_0) → wait_for(liquid_added_to_large_beaker_0) → pick(mechanical_pipette_0) → moveto_entity(mechanical_pipette_0, large_beaker_0) → aspirate(mechanical_pipette_0, large_beaker_0) → moveto_entity(mechanical_pipette_0, chemistry_tube_0) → dispense(mechanical_pipette_0, chemistry_tube_0)</t>
  </si>
  <si>
    <t>parallel_pour_small_beaker_to_flask_then_pipette_large_beaker_to_tube</t>
  </si>
  <si>
    <t>Complete two independent sample transfers in order. First, pick up the small beaker containing CuSO4 solution and pour the solution into the flask. Place the small beaker, then use the pipette to aspirate FeCl2 solution from the large beaker and dispense it into the tube.</t>
  </si>
  <si>
    <t>small_beaker_0; flask_0; CuSO4_solution_0; large_beaker_0; pipette_0; chemistry_tube_0; FeCl2_solution_1</t>
  </si>
  <si>
    <t>pick(small_beaker_0) → pour_to_entity(small_beaker_0, flask_0) → place(small_beaker_0) → pick(pipette_0) → moveto_entity(pipette_0, large_beaker_0) → aspirate(pipette_0, large_beaker_0) → moveto_entity(pipette_0, chemistry_tube_0) → dispense(pipette_0, chemistry_tube_0)</t>
  </si>
  <si>
    <t>parallel_mechanical_pipette_small_beaker_to_tube_then_pour_flask_to_medium_cylinder</t>
  </si>
  <si>
    <t>Complete two independent sample transfers in order. First, use the mechanical pipette to aspirate FeCl2 solution from the small beaker and dispense it into the tube. Place the mechanical pipette, then pick up the flask containing KMnO4 solution and pour the solution into the medium cylinder.</t>
  </si>
  <si>
    <t>mechanical_pipette_0; small_beaker_0; chemistry_tube_0; FeCl2_solution_0; flask_0; medium_cylinder_0; KMnO4_solution_1</t>
  </si>
  <si>
    <t>pick(mechanical_pipette_0) → moveto_entity(mechanical_pipette_0, small_beaker_0) → aspirate(mechanical_pipette_0, small_beaker_0) → moveto_entity(mechanical_pipette_0, chemistry_tube_0) → dispense(mechanical_pipette_0, chemistry_tube_0) → place(mechanical_pipette_0) → pick(flask_0) → pour_to_entity(flask_0, graduated_cylinder_0)</t>
  </si>
  <si>
    <t>parallel_pour_flask_to_small_beaker_then_tube_to_medium_cylinder</t>
  </si>
  <si>
    <t>Complete two independent sample transfers in order. First, pick up the flask containing KMnO4 solution and pour the solution into the small beaker. Place the flask, then pick up the tube containing CuSO4 solution and pour the solution into the medium cylinder.</t>
  </si>
  <si>
    <t>flask_0; small_beaker_0; KMnO4_solution_0; chemistry_tube_0; medium_cylinder_0; CuSO4_solution_1</t>
  </si>
  <si>
    <t>pick(flask_0) → pour_to_entity(flask_0, small_beaker_0) → place(flask_0) → pick(chemistry_tube_0) → pour_to_entity(chemistry_tube_0, graduated_cylinder_0)</t>
  </si>
  <si>
    <t>parallel_pipette_small_beaker_to_flask_then_mechanical_pipette_large_beaker_to_tube</t>
  </si>
  <si>
    <t>Complete two independent sample transfers in order. First, use the pipette to aspirate CuSO4 solution from the small beaker and dispense it into the flask. Place the pipette, then use the mechanical pipette to aspirate FeCl2 solution from the large beaker and dispense it into the tube.</t>
  </si>
  <si>
    <t>pipette_0; small_beaker_0; flask_0; CuSO4_solution_0; mechanical_pipette_0; large_beaker_0; chemistry_tube_0; FeCl2_solution_1</t>
  </si>
  <si>
    <t>pick(pipette_0) → moveto_entity(pipette_0, small_beaker_0) → aspirate(pipette_0, small_beaker_0) → moveto_entity(pipette_0, flask_0) → dispense(pipette_0, flask_0) → place(pipette_0) → pick(mechanical_pipette_0) → moveto_entity(mechanical_pipette_0, large_beaker_0) → aspirate(mechanical_pipette_0, large_beaker_0) → moveto_entity(mechanical_pipette_0, chemistry_tube_0) → dispense(mechanical_pipette_0, chemistry_tube_0)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</si>
</sst>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1"/>
      <color rgb="FFFFFFFF"/>
      <name val="Carlito"/>
      <charset val="134"/>
    </font>
    <font>
      <i/>
      <sz val="11"/>
      <color rgb="FF17324D"/>
      <name val="Carlito"/>
      <charset val="134"/>
    </font>
    <font>
      <sz val="11"/>
      <color rgb="FF1F2933"/>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17324D"/>
        <bgColor indexed="64"/>
      </patternFill>
    </fill>
    <fill>
      <patternFill patternType="solid">
        <fgColor rgb="FFDCEAF3"/>
        <bgColor indexed="64"/>
      </patternFill>
    </fill>
    <fill>
      <patternFill patternType="solid">
        <fgColor rgb="FF176B73"/>
        <bgColor indexed="64"/>
      </patternFill>
    </fill>
    <fill>
      <patternFill patternType="solid">
        <fgColor rgb="FFD8F0F7"/>
        <bgColor indexed="64"/>
      </patternFill>
    </fill>
    <fill>
      <patternFill patternType="solid">
        <fgColor rgb="FFFFF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26">
    <border>
      <left/>
      <right/>
      <top/>
      <bottom/>
      <diagonal/>
    </border>
    <border>
      <left style="thin">
        <color rgb="FF17324D"/>
      </left>
      <right/>
      <top style="thin">
        <color rgb="FF17324D"/>
      </top>
      <bottom style="thin">
        <color rgb="FF17324D"/>
      </bottom>
      <diagonal/>
    </border>
    <border>
      <left/>
      <right/>
      <top style="thin">
        <color rgb="FF17324D"/>
      </top>
      <bottom style="thin">
        <color rgb="FF17324D"/>
      </bottom>
      <diagonal/>
    </border>
    <border>
      <left/>
      <right style="thin">
        <color rgb="FF17324D"/>
      </right>
      <top style="thin">
        <color rgb="FF17324D"/>
      </top>
      <bottom style="thin">
        <color rgb="FF17324D"/>
      </bottom>
      <diagonal/>
    </border>
    <border>
      <left/>
      <right/>
      <top/>
      <bottom style="thin">
        <color rgb="FFD8E1E7"/>
      </bottom>
      <diagonal/>
    </border>
    <border>
      <left/>
      <right/>
      <top style="thin">
        <color rgb="FFD8E1E7"/>
      </top>
      <bottom style="thin">
        <color rgb="FFD8E1E7"/>
      </bottom>
      <diagonal/>
    </border>
    <border>
      <left/>
      <right/>
      <top style="thin">
        <color rgb="FFD8E1E7"/>
      </top>
      <bottom/>
      <diagonal/>
    </border>
    <border>
      <left style="thin">
        <color theme="4" tint="0.39998"/>
      </left>
      <right/>
      <top style="thin">
        <color rgb="FFD8E1E7"/>
      </top>
      <bottom style="thin">
        <color rgb="FFD8E1E7"/>
      </bottom>
      <diagonal/>
    </border>
    <border>
      <left/>
      <right style="thin">
        <color theme="4" tint="0.39998"/>
      </right>
      <top style="thin">
        <color rgb="FFD8E1E7"/>
      </top>
      <bottom style="thin">
        <color rgb="FFD8E1E7"/>
      </bottom>
      <diagonal/>
    </border>
    <border>
      <left style="thin">
        <color theme="4" tint="0.39998"/>
      </left>
      <right/>
      <top style="thin">
        <color rgb="FFD8E1E7"/>
      </top>
      <bottom style="thin">
        <color theme="4" tint="0.39998"/>
      </bottom>
      <diagonal/>
    </border>
    <border>
      <left/>
      <right/>
      <top style="thin">
        <color rgb="FFD8E1E7"/>
      </top>
      <bottom style="thin">
        <color theme="4" tint="0.39998"/>
      </bottom>
      <diagonal/>
    </border>
    <border>
      <left/>
      <right style="thin">
        <color theme="4" tint="0.39998"/>
      </right>
      <top style="thin">
        <color rgb="FFD8E1E7"/>
      </top>
      <bottom style="thin">
        <color theme="4" tint="0.39998"/>
      </bottom>
      <diagonal/>
    </border>
    <border>
      <left style="thin">
        <color rgb="FFD8E1E7"/>
      </left>
      <right style="thin">
        <color rgb="FFD8E1E7"/>
      </right>
      <top style="thin">
        <color rgb="FFD8E1E7"/>
      </top>
      <bottom/>
      <diagonal/>
    </border>
    <border>
      <left/>
      <right style="thin">
        <color rgb="FFD8E1E7"/>
      </right>
      <top style="thin">
        <color rgb="FFD8E1E7"/>
      </top>
      <bottom/>
      <diagonal/>
    </border>
    <border>
      <left style="thin">
        <color rgb="FFD8E1E7"/>
      </left>
      <right style="thin">
        <color rgb="FFD8E1E7"/>
      </right>
      <top/>
      <bottom/>
      <diagonal/>
    </border>
    <border>
      <left/>
      <right style="thin">
        <color rgb="FFD8E1E7"/>
      </right>
      <top/>
      <bottom/>
      <diagonal/>
    </border>
    <border>
      <left style="thin">
        <color rgb="FFD8E1E7"/>
      </left>
      <right style="thin">
        <color rgb="FFD8E1E7"/>
      </right>
      <top/>
      <bottom style="thin">
        <color rgb="FFD8E1E7"/>
      </bottom>
      <diagonal/>
    </border>
    <border>
      <left/>
      <right style="thin">
        <color rgb="FFD8E1E7"/>
      </right>
      <top/>
      <bottom style="thin">
        <color rgb="FFD8E1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 fillId="0" borderId="0">
      <alignment vertical="center"/>
    </xf>
    <xf numFmtId="44" fontId="4" fillId="0" borderId="0">
      <alignment vertical="center"/>
    </xf>
    <xf numFmtId="9" fontId="4" fillId="0" borderId="0">
      <alignment vertical="center"/>
    </xf>
    <xf numFmtId="41" fontId="4" fillId="0" borderId="0">
      <alignment vertical="center"/>
    </xf>
    <xf numFmtId="42" fontId="4" fillId="0" borderId="0">
      <alignment vertical="center"/>
    </xf>
    <xf numFmtId="0" fontId="5" fillId="0" borderId="0">
      <alignment vertical="center"/>
    </xf>
    <xf numFmtId="0" fontId="6" fillId="0" borderId="0">
      <alignment vertical="center"/>
    </xf>
    <xf numFmtId="0" fontId="4" fillId="7" borderId="18">
      <alignment vertical="center"/>
    </xf>
    <xf numFmtId="0" fontId="7" fillId="0" borderId="0">
      <alignment vertical="center"/>
    </xf>
    <xf numFmtId="0" fontId="8" fillId="0" borderId="0">
      <alignment vertical="center"/>
    </xf>
    <xf numFmtId="0" fontId="9" fillId="0" borderId="0">
      <alignment vertical="center"/>
    </xf>
    <xf numFmtId="0" fontId="10" fillId="0" borderId="19">
      <alignment vertical="center"/>
    </xf>
    <xf numFmtId="0" fontId="11" fillId="0" borderId="19">
      <alignment vertical="center"/>
    </xf>
    <xf numFmtId="0" fontId="12" fillId="0" borderId="20">
      <alignment vertical="center"/>
    </xf>
    <xf numFmtId="0" fontId="12" fillId="0" borderId="0">
      <alignment vertical="center"/>
    </xf>
    <xf numFmtId="0" fontId="13" fillId="8" borderId="21">
      <alignment vertical="center"/>
    </xf>
    <xf numFmtId="0" fontId="14" fillId="9" borderId="22">
      <alignment vertical="center"/>
    </xf>
    <xf numFmtId="0" fontId="15" fillId="9" borderId="21">
      <alignment vertical="center"/>
    </xf>
    <xf numFmtId="0" fontId="16" fillId="10" borderId="23">
      <alignment vertical="center"/>
    </xf>
    <xf numFmtId="0" fontId="17" fillId="0" borderId="24">
      <alignment vertical="center"/>
    </xf>
    <xf numFmtId="0" fontId="18" fillId="0" borderId="25">
      <alignment vertical="center"/>
    </xf>
    <xf numFmtId="0" fontId="19" fillId="11" borderId="0">
      <alignment vertical="center"/>
    </xf>
    <xf numFmtId="0" fontId="20" fillId="12" borderId="0">
      <alignment vertical="center"/>
    </xf>
    <xf numFmtId="0" fontId="21" fillId="13" borderId="0">
      <alignment vertical="center"/>
    </xf>
    <xf numFmtId="0" fontId="22" fillId="14" borderId="0">
      <alignment vertical="center"/>
    </xf>
    <xf numFmtId="0" fontId="4" fillId="15" borderId="0">
      <alignment vertical="center"/>
    </xf>
    <xf numFmtId="0" fontId="4" fillId="16" borderId="0">
      <alignment vertical="center"/>
    </xf>
    <xf numFmtId="0" fontId="22" fillId="17" borderId="0">
      <alignment vertical="center"/>
    </xf>
    <xf numFmtId="0" fontId="22" fillId="18" borderId="0">
      <alignment vertical="center"/>
    </xf>
    <xf numFmtId="0" fontId="4" fillId="19" borderId="0">
      <alignment vertical="center"/>
    </xf>
    <xf numFmtId="0" fontId="4" fillId="20" borderId="0">
      <alignment vertical="center"/>
    </xf>
    <xf numFmtId="0" fontId="22" fillId="21" borderId="0">
      <alignment vertical="center"/>
    </xf>
    <xf numFmtId="0" fontId="22" fillId="22" borderId="0">
      <alignment vertical="center"/>
    </xf>
    <xf numFmtId="0" fontId="4" fillId="23" borderId="0">
      <alignment vertical="center"/>
    </xf>
    <xf numFmtId="0" fontId="4" fillId="24" borderId="0">
      <alignment vertical="center"/>
    </xf>
    <xf numFmtId="0" fontId="22" fillId="25" borderId="0">
      <alignment vertical="center"/>
    </xf>
    <xf numFmtId="0" fontId="22" fillId="26" borderId="0">
      <alignment vertical="center"/>
    </xf>
    <xf numFmtId="0" fontId="4" fillId="27" borderId="0">
      <alignment vertical="center"/>
    </xf>
    <xf numFmtId="0" fontId="4" fillId="28" borderId="0">
      <alignment vertical="center"/>
    </xf>
    <xf numFmtId="0" fontId="22" fillId="29" borderId="0">
      <alignment vertical="center"/>
    </xf>
    <xf numFmtId="0" fontId="22" fillId="30" borderId="0">
      <alignment vertical="center"/>
    </xf>
    <xf numFmtId="0" fontId="4" fillId="31" borderId="0">
      <alignment vertical="center"/>
    </xf>
    <xf numFmtId="0" fontId="4" fillId="32" borderId="0">
      <alignment vertical="center"/>
    </xf>
    <xf numFmtId="0" fontId="22" fillId="33" borderId="0">
      <alignment vertical="center"/>
    </xf>
    <xf numFmtId="0" fontId="22" fillId="34" borderId="0">
      <alignment vertical="center"/>
    </xf>
    <xf numFmtId="0" fontId="4" fillId="35" borderId="0">
      <alignment vertical="center"/>
    </xf>
    <xf numFmtId="0" fontId="4" fillId="36" borderId="0">
      <alignment vertical="center"/>
    </xf>
    <xf numFmtId="0" fontId="22" fillId="37" borderId="0">
      <alignment vertical="center"/>
    </xf>
    <xf numFmtId="0" fontId="0" fillId="0" borderId="0"/>
  </cellStyleXfs>
  <cellXfs count="39">
    <xf numFmtId="0" fontId="0" fillId="0" borderId="0" xfId="0" applyAlignment="1"/>
    <xf numFmtId="0" fontId="1" fillId="2" borderId="0" xfId="49" applyFont="1" applyFill="1" applyAlignment="1">
      <alignment horizontal="left" vertical="center"/>
    </xf>
    <xf numFmtId="0" fontId="2" fillId="3" borderId="0" xfId="49" applyFont="1" applyFill="1" applyAlignment="1">
      <alignment vertical="center" wrapText="1"/>
    </xf>
    <xf numFmtId="0" fontId="1" fillId="4" borderId="1" xfId="49" applyFont="1" applyFill="1" applyBorder="1" applyAlignment="1">
      <alignment horizontal="center" vertical="center" wrapText="1"/>
    </xf>
    <xf numFmtId="0" fontId="1" fillId="4" borderId="2" xfId="49" applyFont="1" applyFill="1" applyBorder="1" applyAlignment="1">
      <alignment horizontal="center" vertical="center" wrapText="1"/>
    </xf>
    <xf numFmtId="0" fontId="1" fillId="4" borderId="3" xfId="49" applyFont="1" applyFill="1" applyBorder="1" applyAlignment="1">
      <alignment horizontal="center" vertical="center" wrapText="1"/>
    </xf>
    <xf numFmtId="0" fontId="3" fillId="5" borderId="4" xfId="49" applyFont="1" applyFill="1" applyBorder="1" applyAlignment="1">
      <alignment vertical="top" wrapText="1"/>
    </xf>
    <xf numFmtId="0" fontId="3" fillId="5" borderId="4" xfId="49" applyFont="1" applyFill="1" applyBorder="1" applyAlignment="1">
      <alignment horizontal="center" vertical="top" wrapText="1"/>
    </xf>
    <xf numFmtId="0" fontId="3" fillId="0" borderId="5" xfId="49" applyFont="1" applyBorder="1" applyAlignment="1">
      <alignment vertical="top" wrapText="1"/>
    </xf>
    <xf numFmtId="0" fontId="3" fillId="0" borderId="5" xfId="49" applyFont="1" applyBorder="1" applyAlignment="1">
      <alignment horizontal="center" vertical="top" wrapText="1"/>
    </xf>
    <xf numFmtId="0" fontId="3" fillId="5" borderId="5" xfId="49" applyFont="1" applyFill="1" applyBorder="1" applyAlignment="1">
      <alignment vertical="top" wrapText="1"/>
    </xf>
    <xf numFmtId="0" fontId="3" fillId="5" borderId="5" xfId="49" applyFont="1" applyFill="1" applyBorder="1" applyAlignment="1">
      <alignment horizontal="center" vertical="top" wrapText="1"/>
    </xf>
    <xf numFmtId="0" fontId="3" fillId="0" borderId="6" xfId="49" applyFont="1" applyBorder="1" applyAlignment="1">
      <alignment vertical="top" wrapText="1"/>
    </xf>
    <xf numFmtId="0" fontId="3" fillId="0" borderId="6" xfId="49" applyFont="1" applyBorder="1" applyAlignment="1">
      <alignment horizontal="center" vertical="top" wrapText="1"/>
    </xf>
    <xf numFmtId="0" fontId="0" fillId="0" borderId="0" xfId="0" applyAlignment="1">
      <alignment vertical="center" wrapText="1"/>
    </xf>
    <xf numFmtId="0" fontId="3" fillId="5" borderId="7" xfId="49" applyFont="1" applyFill="1" applyBorder="1" applyAlignment="1">
      <alignment vertical="top" wrapText="1"/>
    </xf>
    <xf numFmtId="0" fontId="3" fillId="5" borderId="8" xfId="49" applyFont="1" applyFill="1" applyBorder="1" applyAlignment="1">
      <alignment vertical="top" wrapText="1"/>
    </xf>
    <xf numFmtId="0" fontId="3" fillId="0" borderId="7" xfId="49" applyFont="1" applyBorder="1" applyAlignment="1">
      <alignment vertical="top" wrapText="1"/>
    </xf>
    <xf numFmtId="0" fontId="3" fillId="0" borderId="8" xfId="49" applyFont="1" applyBorder="1" applyAlignment="1">
      <alignment vertical="top" wrapText="1"/>
    </xf>
    <xf numFmtId="0" fontId="3" fillId="0" borderId="9" xfId="49" applyFont="1" applyBorder="1" applyAlignment="1">
      <alignment vertical="top" wrapText="1"/>
    </xf>
    <xf numFmtId="0" fontId="3" fillId="0" borderId="10" xfId="49" applyFont="1" applyBorder="1" applyAlignment="1">
      <alignment horizontal="center" vertical="top" wrapText="1"/>
    </xf>
    <xf numFmtId="0" fontId="3" fillId="0" borderId="10" xfId="49" applyFont="1" applyBorder="1" applyAlignment="1">
      <alignment vertical="top" wrapText="1"/>
    </xf>
    <xf numFmtId="0" fontId="3" fillId="0" borderId="11" xfId="49" applyFont="1" applyBorder="1" applyAlignment="1">
      <alignment vertical="top" wrapText="1"/>
    </xf>
    <xf numFmtId="0" fontId="1" fillId="2" borderId="0" xfId="49" applyFont="1" applyFill="1" applyAlignment="1">
      <alignment vertical="center"/>
    </xf>
    <xf numFmtId="0" fontId="3" fillId="5" borderId="4" xfId="49" applyFont="1" applyFill="1" applyBorder="1" applyAlignment="1">
      <alignment vertical="center"/>
    </xf>
    <xf numFmtId="0" fontId="3" fillId="5" borderId="4" xfId="49" applyFont="1" applyFill="1" applyBorder="1" applyAlignment="1">
      <alignment horizontal="center" vertical="center"/>
    </xf>
    <xf numFmtId="0" fontId="3" fillId="0" borderId="5" xfId="49" applyFont="1" applyBorder="1" applyAlignment="1">
      <alignment vertical="center"/>
    </xf>
    <xf numFmtId="0" fontId="3" fillId="0" borderId="5" xfId="49" applyFont="1" applyBorder="1" applyAlignment="1">
      <alignment horizontal="center" vertical="center"/>
    </xf>
    <xf numFmtId="0" fontId="3" fillId="5" borderId="5" xfId="49" applyFont="1" applyFill="1" applyBorder="1" applyAlignment="1">
      <alignment vertical="center"/>
    </xf>
    <xf numFmtId="0" fontId="3" fillId="5" borderId="5" xfId="49" applyFont="1" applyFill="1" applyBorder="1" applyAlignment="1">
      <alignment horizontal="center" vertical="center"/>
    </xf>
    <xf numFmtId="0" fontId="1" fillId="2" borderId="0" xfId="49" applyFont="1" applyFill="1" applyAlignment="1">
      <alignment horizontal="center" vertical="center"/>
    </xf>
    <xf numFmtId="0" fontId="3" fillId="6" borderId="12" xfId="49" applyFont="1" applyFill="1" applyBorder="1" applyAlignment="1">
      <alignment vertical="center" wrapText="1"/>
    </xf>
    <xf numFmtId="0" fontId="0" fillId="0" borderId="6" xfId="0" applyBorder="1" applyAlignment="1"/>
    <xf numFmtId="0" fontId="0" fillId="0" borderId="13" xfId="0" applyBorder="1" applyAlignment="1"/>
    <xf numFmtId="0" fontId="3" fillId="6" borderId="14" xfId="49" applyFont="1" applyFill="1" applyBorder="1" applyAlignment="1">
      <alignment vertical="center" wrapText="1"/>
    </xf>
    <xf numFmtId="0" fontId="0" fillId="0" borderId="15" xfId="0" applyBorder="1" applyAlignment="1"/>
    <xf numFmtId="0" fontId="3" fillId="6" borderId="16" xfId="49" applyFont="1" applyFill="1" applyBorder="1" applyAlignment="1">
      <alignment vertical="center" wrapText="1"/>
    </xf>
    <xf numFmtId="0" fontId="0" fillId="0" borderId="4" xfId="0" applyBorder="1" applyAlignment="1"/>
    <xf numFmtId="0" fontId="0" fillId="0" borderId="17" xfId="0" applyBorder="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77">
    <dxf/>
    <dxf/>
    <dxf/>
    <dxf/>
    <dxf/>
    <dxf/>
    <dxf/>
    <dxf/>
    <dxf/>
    <dxf/>
    <dxf/>
    <dxf/>
    <dxf/>
    <dxf/>
    <dxf/>
    <dxf/>
    <dxf/>
    <dxf/>
    <dxf/>
    <dxf/>
    <dxf/>
    <dxf/>
    <dxf/>
    <dxf/>
    <dxf/>
    <dxf/>
    <dxf/>
    <dxf/>
    <dxf/>
    <dxf/>
    <dxf/>
    <dxf/>
    <dxf/>
    <dxf/>
    <dxf/>
    <dxf/>
    <dxf/>
    <dxf/>
    <dxf/>
    <dxf/>
    <dxf/>
    <dxf/>
    <dxf/>
    <dxf/>
    <dxf/>
    <dxf/>
    <dxf/>
    <dxf/>
    <dxf/>
    <dxf/>
    <dxf/>
    <dxf/>
    <dxf/>
    <dxf/>
    <dxf/>
    <dxf/>
    <dxf/>
    <dxf/>
    <dxf/>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6"/>
      <tableStyleElement type="headerRow" dxfId="65"/>
      <tableStyleElement type="totalRow" dxfId="64"/>
      <tableStyleElement type="firstColumn" dxfId="63"/>
      <tableStyleElement type="lastColumn" dxfId="62"/>
      <tableStyleElement type="firstRowStripe" dxfId="61"/>
      <tableStyleElement type="firstColumnStripe" dxfId="60"/>
    </tableStyle>
    <tableStyle name="PivotStylePreset2_Accent1" table="0" count="10" xr9:uid="{267968C8-6FFD-4C36-ACC1-9EA1FD1885CA}">
      <tableStyleElement type="headerRow" dxfId="76"/>
      <tableStyleElement type="totalRow" dxfId="75"/>
      <tableStyleElement type="firstRowStripe" dxfId="74"/>
      <tableStyleElement type="firstColumnStripe" dxfId="73"/>
      <tableStyleElement type="firstSubtotalRow" dxfId="72"/>
      <tableStyleElement type="secondSubtotalRow" dxfId="71"/>
      <tableStyleElement type="firstRowSubheading" dxfId="70"/>
      <tableStyleElement type="secondRowSubheading" dxfId="69"/>
      <tableStyleElement type="pageFieldLabels" dxfId="68"/>
      <tableStyleElement type="pageFieldValues" dxfId="6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TaskSummaryTable" displayName="TaskSummaryTable" ref="A4:E16" totalsRowShown="0">
  <autoFilter xmlns:etc="http://www.wps.cn/officeDocument/2017/etCustomData" ref="A4:E16" etc:filterBottomFollowUsedRange="0"/>
  <tableColumns count="5">
    <tableColumn id="1" name="类型 / Type" dataDxfId="0"/>
    <tableColumn id="2" name="程序结构 / Structures" dataDxfId="1"/>
    <tableColumn id="3" name="材料重复 / Material-only duplicates" dataDxfId="2"/>
    <tableColumn id="4" name="人工触发 / Event-conditioned" dataDxfId="3"/>
    <tableColumn id="5" name="任务数 / Tasks" dataDxfId="4"/>
  </tableColumns>
  <tableStyleInfo name="TableStyleMedium2" showFirstColumn="0" showLastColumn="0" showRowStripes="0" showColumnStripes="0"/>
</table>
</file>

<file path=xl/tables/table2.xml><?xml version="1.0" encoding="utf-8"?>
<table xmlns="http://schemas.openxmlformats.org/spreadsheetml/2006/main" id="2" name="DirectPourTable" displayName="DirectPourTable" ref="A4:E12" totalsRowShown="0">
  <autoFilter xmlns:etc="http://www.wps.cn/officeDocument/2017/etCustomData" ref="A4:E12" etc:filterBottomFollowUsedRange="0"/>
  <tableColumns count="5">
    <tableColumn id="1" name="Task name" dataDxfId="5"/>
    <tableColumn id="2" name="Primary family" dataDxfId="6"/>
    <tableColumn id="3" name="Instruction" dataDxfId="7"/>
    <tableColumn id="4" name="entities" dataDxfId="8"/>
    <tableColumn id="5" name="P: executable program" dataDxfId="9"/>
  </tableColumns>
  <tableStyleInfo name="TableStyleMedium2" showFirstColumn="0" showLastColumn="0" showRowStripes="0" showColumnStripes="0"/>
</table>
</file>

<file path=xl/tables/table3.xml><?xml version="1.0" encoding="utf-8"?>
<table xmlns="http://schemas.openxmlformats.org/spreadsheetml/2006/main" id="3" name="PipetteTable" displayName="PipetteTable" ref="A4:E10" totalsRowShown="0">
  <autoFilter xmlns:etc="http://www.wps.cn/officeDocument/2017/etCustomData" ref="A4:E10" etc:filterBottomFollowUsedRange="0"/>
  <tableColumns count="5">
    <tableColumn id="1" name="Task name" dataDxfId="10"/>
    <tableColumn id="2" name="Primary family" dataDxfId="11"/>
    <tableColumn id="3" name="Instruction" dataDxfId="12"/>
    <tableColumn id="4" name="entities" dataDxfId="13"/>
    <tableColumn id="5" name="P: executable program" dataDxfId="14"/>
  </tableColumns>
  <tableStyleInfo name="TableStyleMedium2" showFirstColumn="0" showLastColumn="0" showRowStripes="0" showColumnStripes="0"/>
</table>
</file>

<file path=xl/tables/table4.xml><?xml version="1.0" encoding="utf-8"?>
<table xmlns="http://schemas.openxmlformats.org/spreadsheetml/2006/main" id="4" name="DropperTable" displayName="DropperTable" ref="A4:E10" totalsRowShown="0">
  <autoFilter xmlns:etc="http://www.wps.cn/officeDocument/2017/etCustomData" ref="A4:E10" etc:filterBottomFollowUsedRange="0"/>
  <tableColumns count="5">
    <tableColumn id="1" name="Task name" dataDxfId="15"/>
    <tableColumn id="2" name="Primary family" dataDxfId="16"/>
    <tableColumn id="3" name="Instruction" dataDxfId="17"/>
    <tableColumn id="4" name="entities" dataDxfId="18"/>
    <tableColumn id="5" name="P: executable program" dataDxfId="19"/>
  </tableColumns>
  <tableStyleInfo name="TableStyleMedium2" showFirstColumn="0" showLastColumn="0" showRowStripes="0" showColumnStripes="0"/>
</table>
</file>

<file path=xl/tables/table5.xml><?xml version="1.0" encoding="utf-8"?>
<table xmlns="http://schemas.openxmlformats.org/spreadsheetml/2006/main" id="5" name="TwoPourRelayTable" displayName="TwoPourRelayTable" ref="A4:E8" totalsRowShown="0">
  <autoFilter xmlns:etc="http://www.wps.cn/officeDocument/2017/etCustomData" ref="A4:E8" etc:filterBottomFollowUsedRange="0"/>
  <tableColumns count="5">
    <tableColumn id="1" name="Task name" dataDxfId="20"/>
    <tableColumn id="2" name="Primary family" dataDxfId="21"/>
    <tableColumn id="3" name="Instruction" dataDxfId="22"/>
    <tableColumn id="4" name="entities" dataDxfId="23"/>
    <tableColumn id="5" name="P: executable program" dataDxfId="24"/>
  </tableColumns>
  <tableStyleInfo name="TableStyleMedium2" showFirstColumn="0" showLastColumn="0" showRowStripes="0" showColumnStripes="0"/>
</table>
</file>

<file path=xl/tables/table6.xml><?xml version="1.0" encoding="utf-8"?>
<table xmlns="http://schemas.openxmlformats.org/spreadsheetml/2006/main" id="6" name="ThreePourRelayTable" displayName="ThreePourRelayTable" ref="A4:E6" totalsRowShown="0">
  <autoFilter xmlns:etc="http://www.wps.cn/officeDocument/2017/etCustomData" ref="A4:E6" etc:filterBottomFollowUsedRange="0"/>
  <tableColumns count="5">
    <tableColumn id="1" name="Task name" dataDxfId="25"/>
    <tableColumn id="2" name="Primary family" dataDxfId="26"/>
    <tableColumn id="3" name="Instruction" dataDxfId="27"/>
    <tableColumn id="4" name="entities" dataDxfId="28"/>
    <tableColumn id="5" name="P: executable program" dataDxfId="29"/>
  </tableColumns>
  <tableStyleInfo name="TableStyleMedium2" showFirstColumn="0" showLastColumn="0" showRowStripes="0" showColumnStripes="0"/>
</table>
</file>

<file path=xl/tables/table7.xml><?xml version="1.0" encoding="utf-8"?>
<table xmlns="http://schemas.openxmlformats.org/spreadsheetml/2006/main" id="7" name="ConvergePourTable" displayName="ConvergePourTable" ref="A4:E6" totalsRowShown="0">
  <autoFilter xmlns:etc="http://www.wps.cn/officeDocument/2017/etCustomData" ref="A4:E6" etc:filterBottomFollowUsedRange="0"/>
  <tableColumns count="5">
    <tableColumn id="1" name="Task name" dataDxfId="30"/>
    <tableColumn id="2" name="Primary family" dataDxfId="31"/>
    <tableColumn id="3" name="Instruction" dataDxfId="32"/>
    <tableColumn id="4" name="entities" dataDxfId="33"/>
    <tableColumn id="5" name="P: executable program" dataDxfId="34"/>
  </tableColumns>
  <tableStyleInfo name="TableStyleMedium2" showFirstColumn="0" showLastColumn="0" showRowStripes="0" showColumnStripes="0"/>
</table>
</file>

<file path=xl/tables/table8.xml><?xml version="1.0" encoding="utf-8"?>
<table xmlns="http://schemas.openxmlformats.org/spreadsheetml/2006/main" id="8" name="PourToolRelayTable" displayName="PourToolRelayTable" ref="A4:E10" totalsRowShown="0">
  <autoFilter xmlns:etc="http://www.wps.cn/officeDocument/2017/etCustomData" ref="A4:E10" etc:filterBottomFollowUsedRange="0"/>
  <tableColumns count="5">
    <tableColumn id="1" name="Task name" dataDxfId="35"/>
    <tableColumn id="2" name="Primary family" dataDxfId="36"/>
    <tableColumn id="3" name="Instruction" dataDxfId="37"/>
    <tableColumn id="4" name="entities" dataDxfId="38"/>
    <tableColumn id="5" name="P: executable program" dataDxfId="39"/>
  </tableColumns>
  <tableStyleInfo name="TableStyleMedium2" showFirstColumn="0" showLastColumn="0" showRowStripes="0" showColumnStripes="0"/>
</table>
</file>

<file path=xl/tables/table9.xml><?xml version="1.0" encoding="utf-8"?>
<table xmlns="http://schemas.openxmlformats.org/spreadsheetml/2006/main" id="9" name="ReservoirTable" displayName="ReservoirTable" ref="A4:E12" totalsRowShown="0">
  <autoFilter xmlns:etc="http://www.wps.cn/officeDocument/2017/etCustomData" ref="A4:E12" etc:filterBottomFollowUsedRange="0"/>
  <tableColumns count="5">
    <tableColumn id="1" name="Task name" dataDxfId="40"/>
    <tableColumn id="2" name="Primary family" dataDxfId="41"/>
    <tableColumn id="3" name="Instruction" dataDxfId="42"/>
    <tableColumn id="4" name="entities" dataDxfId="43"/>
    <tableColumn id="5" name="P: executable program" dataDxfId="44"/>
  </tableColumns>
  <tableStyleInfo name="TableStyleMedium2" showFirstColumn="0" showLastColumn="0" showRowStripes="0" showColumnStripes="0"/>
</table>
</file>

<file path=xl/tables/table10.xml><?xml version="1.0" encoding="utf-8"?>
<table xmlns="http://schemas.openxmlformats.org/spreadsheetml/2006/main" id="10" name="OrderedAdditionTable" displayName="OrderedAdditionTable" ref="A4:E12" totalsRowShown="0">
  <autoFilter xmlns:etc="http://www.wps.cn/officeDocument/2017/etCustomData" ref="A4:E12" etc:filterBottomFollowUsedRange="0"/>
  <tableColumns count="5">
    <tableColumn id="1" name="Task name" dataDxfId="45"/>
    <tableColumn id="2" name="Primary family" dataDxfId="46"/>
    <tableColumn id="3" name="Instruction" dataDxfId="47"/>
    <tableColumn id="4" name="entities" dataDxfId="48"/>
    <tableColumn id="5" name="P: executable program" dataDxfId="49"/>
  </tableColumns>
  <tableStyleInfo name="TableStyleMedium2" showFirstColumn="0" showLastColumn="0" showRowStripes="0" showColumnStripes="0"/>
</table>
</file>

<file path=xl/tables/table11.xml><?xml version="1.0" encoding="utf-8"?>
<table xmlns="http://schemas.openxmlformats.org/spreadsheetml/2006/main" id="11" name="HumanTriggeredTable" displayName="HumanTriggeredTable" ref="A4:E12" totalsRowShown="0">
  <autoFilter xmlns:etc="http://www.wps.cn/officeDocument/2017/etCustomData" ref="A4:E12" etc:filterBottomFollowUsedRange="0"/>
  <tableColumns count="5">
    <tableColumn id="1" name="Task name" dataDxfId="50"/>
    <tableColumn id="2" name="Primary family" dataDxfId="51"/>
    <tableColumn id="3" name="Instruction" dataDxfId="52"/>
    <tableColumn id="4" name="entities" dataDxfId="53"/>
    <tableColumn id="5" name="P: executable program" dataDxfId="54"/>
  </tableColumns>
  <tableStyleInfo name="TableStyleMedium2" showFirstColumn="0" showLastColumn="0" showRowStripes="0" showColumnStripes="0"/>
</table>
</file>

<file path=xl/tables/table12.xml><?xml version="1.0" encoding="utf-8"?>
<table xmlns="http://schemas.openxmlformats.org/spreadsheetml/2006/main" id="12" name="ParallelSamplesTable" displayName="ParallelSamplesTable" ref="A4:E8" totalsRowShown="0">
  <autoFilter xmlns:etc="http://www.wps.cn/officeDocument/2017/etCustomData" ref="A4:E8" etc:filterBottomFollowUsedRange="0"/>
  <tableColumns count="5">
    <tableColumn id="1" name="Task name" dataDxfId="55"/>
    <tableColumn id="2" name="Primary family" dataDxfId="56"/>
    <tableColumn id="3" name="Instruction" dataDxfId="57"/>
    <tableColumn id="4" name="entities" dataDxfId="58"/>
    <tableColumn id="5" name="P: executable program" dataDxfId="59"/>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showGridLines="0" tabSelected="1" topLeftCell="A2" workbookViewId="0">
      <selection activeCell="A1" sqref="A1:E1"/>
    </sheetView>
  </sheetViews>
  <sheetFormatPr defaultColWidth="9" defaultRowHeight="13.8" outlineLevelCol="4"/>
  <cols>
    <col min="1" max="1" width="52" customWidth="1"/>
    <col min="2" max="2" width="17" customWidth="1"/>
    <col min="3" max="3" width="26" customWidth="1"/>
    <col min="4" max="4" width="22" customWidth="1"/>
    <col min="5" max="5" width="15" customWidth="1"/>
  </cols>
  <sheetData>
    <row r="1" ht="30" customHeight="1" spans="1:5">
      <c r="A1" s="23" t="s">
        <v>0</v>
      </c>
    </row>
    <row r="2" ht="37.95" customHeight="1" spans="1:5">
      <c r="A2" s="2" t="s">
        <v>1</v>
      </c>
    </row>
    <row r="4" ht="34.05" customHeight="1" spans="1:5">
      <c r="A4" s="3" t="s">
        <v>2</v>
      </c>
      <c r="B4" s="4" t="s">
        <v>3</v>
      </c>
      <c r="C4" s="4" t="s">
        <v>4</v>
      </c>
      <c r="D4" s="4" t="s">
        <v>5</v>
      </c>
      <c r="E4" s="5" t="s">
        <v>6</v>
      </c>
    </row>
    <row r="5" ht="24" customHeight="1" spans="1:5">
      <c r="A5" s="24" t="s">
        <v>7</v>
      </c>
      <c r="B5" s="25">
        <f>COUNTA(单次直接倾倒!A5:A12)</f>
        <v>8</v>
      </c>
      <c r="C5" s="25">
        <v>0</v>
      </c>
      <c r="D5" s="25">
        <f t="shared" ref="D5:D13" si="0">0</f>
        <v>0</v>
      </c>
      <c r="E5" s="25">
        <f t="shared" ref="E5:E16" si="1">B5</f>
        <v>8</v>
      </c>
    </row>
    <row r="6" ht="24" customHeight="1" spans="1:5">
      <c r="A6" s="26" t="s">
        <v>8</v>
      </c>
      <c r="B6" s="27">
        <f>COUNTA(移液枪转移!A5:A10)</f>
        <v>6</v>
      </c>
      <c r="C6" s="27">
        <v>0</v>
      </c>
      <c r="D6" s="27">
        <f t="shared" si="0"/>
        <v>0</v>
      </c>
      <c r="E6" s="27">
        <f t="shared" si="1"/>
        <v>6</v>
      </c>
    </row>
    <row r="7" ht="24" customHeight="1" spans="1:5">
      <c r="A7" s="28" t="s">
        <v>9</v>
      </c>
      <c r="B7" s="29">
        <f>COUNTA(移液管转移!A5:A10)</f>
        <v>6</v>
      </c>
      <c r="C7" s="29">
        <v>0</v>
      </c>
      <c r="D7" s="29">
        <f t="shared" si="0"/>
        <v>0</v>
      </c>
      <c r="E7" s="29">
        <f t="shared" si="1"/>
        <v>6</v>
      </c>
    </row>
    <row r="8" ht="24" customHeight="1" spans="1:5">
      <c r="A8" s="26" t="s">
        <v>10</v>
      </c>
      <c r="B8" s="27">
        <f>COUNTA(两次接力倾倒!A5:A8)</f>
        <v>4</v>
      </c>
      <c r="C8" s="27">
        <v>0</v>
      </c>
      <c r="D8" s="27">
        <f t="shared" si="0"/>
        <v>0</v>
      </c>
      <c r="E8" s="27">
        <f t="shared" si="1"/>
        <v>4</v>
      </c>
    </row>
    <row r="9" ht="24" customHeight="1" spans="1:5">
      <c r="A9" s="28" t="s">
        <v>11</v>
      </c>
      <c r="B9" s="29">
        <f>COUNTA(三次接力倾倒!A5:A10)</f>
        <v>6</v>
      </c>
      <c r="C9" s="29">
        <v>0</v>
      </c>
      <c r="D9" s="29">
        <f t="shared" si="0"/>
        <v>0</v>
      </c>
      <c r="E9" s="29">
        <f t="shared" si="1"/>
        <v>6</v>
      </c>
    </row>
    <row r="10" ht="24" customHeight="1" spans="1:5">
      <c r="A10" s="26" t="s">
        <v>12</v>
      </c>
      <c r="B10" s="27">
        <f>COUNTA(双源汇聚倾倒!A5:A10)</f>
        <v>6</v>
      </c>
      <c r="C10" s="27">
        <v>0</v>
      </c>
      <c r="D10" s="27">
        <f t="shared" si="0"/>
        <v>0</v>
      </c>
      <c r="E10" s="27">
        <f t="shared" si="1"/>
        <v>6</v>
      </c>
    </row>
    <row r="11" ht="24" customHeight="1" spans="1:5">
      <c r="A11" s="28" t="s">
        <v>13</v>
      </c>
      <c r="B11" s="29">
        <f>COUNTA(倾倒与工具接力!A5:A14)</f>
        <v>10</v>
      </c>
      <c r="C11" s="29">
        <v>0</v>
      </c>
      <c r="D11" s="29">
        <f t="shared" si="0"/>
        <v>0</v>
      </c>
      <c r="E11" s="29">
        <f t="shared" si="1"/>
        <v>10</v>
      </c>
    </row>
    <row r="12" ht="24" customHeight="1" spans="1:5">
      <c r="A12" s="26" t="s">
        <v>14</v>
      </c>
      <c r="B12" s="27">
        <f>COUNTA(储液池多目标分装!A5:A12)</f>
        <v>8</v>
      </c>
      <c r="C12" s="27">
        <v>0</v>
      </c>
      <c r="D12" s="27">
        <f t="shared" si="0"/>
        <v>0</v>
      </c>
      <c r="E12" s="27">
        <f t="shared" si="1"/>
        <v>8</v>
      </c>
    </row>
    <row r="13" ht="24" customHeight="1" spans="1:5">
      <c r="A13" s="28" t="s">
        <v>15</v>
      </c>
      <c r="B13" s="29">
        <f>COUNTA(多来源有序添加!A5:A12)</f>
        <v>8</v>
      </c>
      <c r="C13" s="29">
        <v>0</v>
      </c>
      <c r="D13" s="29">
        <f t="shared" si="0"/>
        <v>0</v>
      </c>
      <c r="E13" s="29">
        <f t="shared" si="1"/>
        <v>8</v>
      </c>
    </row>
    <row r="14" ht="24" customHeight="1" spans="1:5">
      <c r="A14" s="26" t="s">
        <v>16</v>
      </c>
      <c r="B14" s="27">
        <f>COUNTA(人工触发流程!A5:A12)</f>
        <v>8</v>
      </c>
      <c r="C14" s="27">
        <v>0</v>
      </c>
      <c r="D14" s="27">
        <v>8</v>
      </c>
      <c r="E14" s="27">
        <f t="shared" si="1"/>
        <v>8</v>
      </c>
    </row>
    <row r="15" ht="24" customHeight="1" spans="1:5">
      <c r="A15" s="28" t="s">
        <v>17</v>
      </c>
      <c r="B15" s="29">
        <f>COUNTA(并行样本处理!A5:A8)</f>
        <v>4</v>
      </c>
      <c r="C15" s="29">
        <v>0</v>
      </c>
      <c r="D15" s="29">
        <v>0</v>
      </c>
      <c r="E15" s="29">
        <f t="shared" si="1"/>
        <v>4</v>
      </c>
    </row>
    <row r="16" ht="24" customHeight="1" spans="1:5">
      <c r="A16" s="23" t="s">
        <v>18</v>
      </c>
      <c r="B16" s="30">
        <f>SUM(B5:B15)</f>
        <v>74</v>
      </c>
      <c r="C16" s="30">
        <f>SUM(C5:C15)</f>
        <v>0</v>
      </c>
      <c r="D16" s="30">
        <f>SUM(D5:D15)</f>
        <v>8</v>
      </c>
      <c r="E16" s="30">
        <f>SUM(E5:E15)</f>
        <v>74</v>
      </c>
    </row>
    <row r="17" ht="24" customHeight="1"/>
    <row r="18" spans="1:5">
      <c r="A18" s="31" t="s">
        <v>19</v>
      </c>
      <c r="B18" s="32"/>
      <c r="C18" s="32"/>
      <c r="D18" s="32"/>
      <c r="E18" s="33"/>
    </row>
    <row r="19" ht="46.05" customHeight="1" spans="1:5">
      <c r="A19" s="34" t="s">
        <v>20</v>
      </c>
      <c r="E19" s="35"/>
    </row>
    <row r="20" ht="46.05" customHeight="1" spans="1:5">
      <c r="A20" s="36" t="s">
        <v>21</v>
      </c>
      <c r="B20" s="37"/>
      <c r="C20" s="37"/>
      <c r="D20" s="37"/>
      <c r="E20" s="38"/>
    </row>
    <row r="21" ht="46.05" customHeight="1"/>
  </sheetData>
  <mergeCells count="5">
    <mergeCell ref="A1:E1"/>
    <mergeCell ref="A2:E2"/>
    <mergeCell ref="A18:E18"/>
    <mergeCell ref="A19:E19"/>
    <mergeCell ref="A20:E20"/>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showGridLines="0" workbookViewId="0">
      <selection activeCell="A1" sqref="A1:E1"/>
    </sheetView>
  </sheetViews>
  <sheetFormatPr defaultColWidth="9" defaultRowHeight="13.8" outlineLevelCol="4"/>
  <cols>
    <col min="1" max="1" width="35" customWidth="1"/>
    <col min="2" max="2" width="18" customWidth="1"/>
    <col min="3" max="3" width="78" customWidth="1"/>
    <col min="4" max="4" width="52" customWidth="1"/>
    <col min="5" max="5" width="105" customWidth="1"/>
  </cols>
  <sheetData>
    <row r="1" ht="28.05" customHeight="1" spans="1:5">
      <c r="A1" s="1" t="s">
        <v>7</v>
      </c>
    </row>
    <row r="2" ht="31.95" customHeight="1" spans="1:5">
      <c r="A2" s="2" t="s">
        <v>22</v>
      </c>
    </row>
    <row r="4" ht="30" customHeight="1" spans="1:5">
      <c r="A4" s="3" t="s">
        <v>23</v>
      </c>
      <c r="B4" s="4" t="s">
        <v>24</v>
      </c>
      <c r="C4" s="4" t="s">
        <v>25</v>
      </c>
      <c r="D4" s="4" t="s">
        <v>26</v>
      </c>
      <c r="E4" s="5" t="s">
        <v>27</v>
      </c>
    </row>
    <row r="5" ht="66" customHeight="1" spans="1:5">
      <c r="A5" s="6" t="s">
        <v>28</v>
      </c>
      <c r="B5" s="7" t="s">
        <v>29</v>
      </c>
      <c r="C5" s="6" t="s">
        <v>30</v>
      </c>
      <c r="D5" s="6" t="s">
        <v>31</v>
      </c>
      <c r="E5" s="6" t="s">
        <v>32</v>
      </c>
    </row>
    <row r="6" ht="66" customHeight="1" spans="1:5">
      <c r="A6" s="8" t="s">
        <v>33</v>
      </c>
      <c r="B6" s="9" t="s">
        <v>29</v>
      </c>
      <c r="C6" s="8" t="s">
        <v>34</v>
      </c>
      <c r="D6" s="8" t="s">
        <v>35</v>
      </c>
      <c r="E6" s="8" t="s">
        <v>36</v>
      </c>
    </row>
    <row r="7" ht="66" customHeight="1" spans="1:5">
      <c r="A7" s="10" t="s">
        <v>37</v>
      </c>
      <c r="B7" s="11" t="s">
        <v>29</v>
      </c>
      <c r="C7" s="10" t="s">
        <v>38</v>
      </c>
      <c r="D7" s="10" t="s">
        <v>39</v>
      </c>
      <c r="E7" s="10" t="s">
        <v>40</v>
      </c>
    </row>
    <row r="8" ht="66" customHeight="1" spans="1:5">
      <c r="A8" s="8" t="s">
        <v>41</v>
      </c>
      <c r="B8" s="9" t="s">
        <v>29</v>
      </c>
      <c r="C8" s="8" t="s">
        <v>42</v>
      </c>
      <c r="D8" s="8" t="s">
        <v>43</v>
      </c>
      <c r="E8" s="8" t="s">
        <v>44</v>
      </c>
    </row>
    <row r="9" ht="66" customHeight="1" spans="1:5">
      <c r="A9" s="10" t="s">
        <v>45</v>
      </c>
      <c r="B9" s="11" t="s">
        <v>29</v>
      </c>
      <c r="C9" s="10" t="s">
        <v>46</v>
      </c>
      <c r="D9" s="10" t="s">
        <v>47</v>
      </c>
      <c r="E9" s="10" t="s">
        <v>48</v>
      </c>
    </row>
    <row r="10" ht="66" customHeight="1" spans="1:5">
      <c r="A10" s="8" t="s">
        <v>49</v>
      </c>
      <c r="B10" s="9" t="s">
        <v>29</v>
      </c>
      <c r="C10" s="8" t="s">
        <v>50</v>
      </c>
      <c r="D10" s="8" t="s">
        <v>51</v>
      </c>
      <c r="E10" s="8" t="s">
        <v>52</v>
      </c>
    </row>
    <row r="11" ht="66" customHeight="1" spans="1:5">
      <c r="A11" s="10" t="s">
        <v>53</v>
      </c>
      <c r="B11" s="11" t="s">
        <v>29</v>
      </c>
      <c r="C11" s="10" t="s">
        <v>54</v>
      </c>
      <c r="D11" s="10" t="s">
        <v>55</v>
      </c>
      <c r="E11" s="10" t="s">
        <v>56</v>
      </c>
    </row>
    <row r="12" ht="66" customHeight="1" spans="1:5">
      <c r="A12" s="12" t="s">
        <v>57</v>
      </c>
      <c r="B12" s="13" t="s">
        <v>29</v>
      </c>
      <c r="C12" s="12" t="s">
        <v>58</v>
      </c>
      <c r="D12" s="12" t="s">
        <v>59</v>
      </c>
      <c r="E12" s="12" t="s">
        <v>60</v>
      </c>
    </row>
    <row r="13" ht="48" customHeight="1"/>
    <row r="14" ht="48" customHeight="1"/>
    <row r="15" ht="48" customHeight="1"/>
    <row r="16" ht="48" customHeight="1"/>
    <row r="17" ht="48" customHeight="1"/>
    <row r="18" ht="48" customHeight="1"/>
    <row r="19" ht="48" customHeight="1"/>
    <row r="20" ht="48" customHeight="1"/>
    <row r="21" ht="48" customHeight="1"/>
    <row r="22" ht="48" customHeight="1"/>
    <row r="23" ht="48" customHeight="1"/>
    <row r="24" ht="48" customHeight="1"/>
    <row r="25" ht="48" customHeight="1"/>
    <row r="26" ht="48" customHeight="1"/>
    <row r="27" ht="48" customHeight="1"/>
    <row r="28" ht="48" customHeight="1"/>
  </sheetData>
  <mergeCells count="2">
    <mergeCell ref="A1:E1"/>
    <mergeCell ref="A2:E2"/>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showGridLines="0" workbookViewId="0">
      <selection activeCell="A1" sqref="A1:E1"/>
    </sheetView>
  </sheetViews>
  <sheetFormatPr defaultColWidth="9" defaultRowHeight="13.8" outlineLevelCol="4"/>
  <cols>
    <col min="1" max="1" width="35" customWidth="1"/>
    <col min="2" max="2" width="18" customWidth="1"/>
    <col min="3" max="3" width="78" customWidth="1"/>
    <col min="4" max="4" width="52" customWidth="1"/>
    <col min="5" max="5" width="105" customWidth="1"/>
  </cols>
  <sheetData>
    <row r="1" ht="28.05" customHeight="1" spans="1:5">
      <c r="A1" s="1" t="s">
        <v>8</v>
      </c>
    </row>
    <row r="2" ht="31.95" customHeight="1" spans="1:5">
      <c r="A2" s="2" t="s">
        <v>61</v>
      </c>
    </row>
    <row r="4" ht="30" customHeight="1" spans="1:5">
      <c r="A4" s="3" t="s">
        <v>23</v>
      </c>
      <c r="B4" s="4" t="s">
        <v>24</v>
      </c>
      <c r="C4" s="4" t="s">
        <v>25</v>
      </c>
      <c r="D4" s="4" t="s">
        <v>26</v>
      </c>
      <c r="E4" s="5" t="s">
        <v>27</v>
      </c>
    </row>
    <row r="5" ht="66" customHeight="1" spans="1:5">
      <c r="A5" s="6" t="s">
        <v>62</v>
      </c>
      <c r="B5" s="7" t="s">
        <v>29</v>
      </c>
      <c r="C5" s="6" t="s">
        <v>63</v>
      </c>
      <c r="D5" s="6" t="s">
        <v>64</v>
      </c>
      <c r="E5" s="6" t="s">
        <v>65</v>
      </c>
    </row>
    <row r="6" ht="66" customHeight="1" spans="1:5">
      <c r="A6" s="8" t="s">
        <v>66</v>
      </c>
      <c r="B6" s="9" t="s">
        <v>29</v>
      </c>
      <c r="C6" s="8" t="s">
        <v>67</v>
      </c>
      <c r="D6" s="8" t="s">
        <v>68</v>
      </c>
      <c r="E6" s="8" t="s">
        <v>69</v>
      </c>
    </row>
    <row r="7" ht="66" customHeight="1" spans="1:5">
      <c r="A7" s="10" t="s">
        <v>70</v>
      </c>
      <c r="B7" s="11" t="s">
        <v>29</v>
      </c>
      <c r="C7" s="10" t="s">
        <v>71</v>
      </c>
      <c r="D7" s="10" t="s">
        <v>72</v>
      </c>
      <c r="E7" s="10" t="s">
        <v>73</v>
      </c>
    </row>
    <row r="8" ht="66" customHeight="1" spans="1:5">
      <c r="A8" s="8" t="s">
        <v>74</v>
      </c>
      <c r="B8" s="9" t="s">
        <v>29</v>
      </c>
      <c r="C8" s="8" t="s">
        <v>75</v>
      </c>
      <c r="D8" s="8" t="s">
        <v>76</v>
      </c>
      <c r="E8" s="8" t="s">
        <v>77</v>
      </c>
    </row>
    <row r="9" ht="66" customHeight="1" spans="1:5">
      <c r="A9" s="10" t="s">
        <v>78</v>
      </c>
      <c r="B9" s="11" t="s">
        <v>29</v>
      </c>
      <c r="C9" s="10" t="s">
        <v>79</v>
      </c>
      <c r="D9" s="10" t="s">
        <v>80</v>
      </c>
      <c r="E9" s="10" t="s">
        <v>81</v>
      </c>
    </row>
    <row r="10" ht="66" customHeight="1" spans="1:5">
      <c r="A10" s="8" t="s">
        <v>82</v>
      </c>
      <c r="B10" s="9" t="s">
        <v>29</v>
      </c>
      <c r="C10" s="8" t="s">
        <v>83</v>
      </c>
      <c r="D10" s="8" t="s">
        <v>84</v>
      </c>
      <c r="E10" s="8" t="s">
        <v>85</v>
      </c>
    </row>
    <row r="11" ht="66" customHeight="1"/>
    <row r="12" ht="66" customHeight="1"/>
    <row r="13" ht="66" customHeight="1"/>
    <row r="14" ht="66" customHeight="1"/>
    <row r="15" ht="66" customHeight="1"/>
    <row r="16" ht="66" customHeight="1"/>
    <row r="17" ht="78" customHeight="1"/>
    <row r="18" ht="78" customHeight="1"/>
    <row r="19" ht="78" customHeight="1"/>
    <row r="20" ht="78" customHeight="1"/>
    <row r="21" ht="78" customHeight="1"/>
    <row r="22" ht="78" customHeight="1"/>
  </sheetData>
  <mergeCells count="2">
    <mergeCell ref="A1:E1"/>
    <mergeCell ref="A2:E2"/>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showGridLines="0" workbookViewId="0">
      <selection activeCell="A1" sqref="A1:E1"/>
    </sheetView>
  </sheetViews>
  <sheetFormatPr defaultColWidth="9" defaultRowHeight="13.8" outlineLevelCol="4"/>
  <cols>
    <col min="1" max="1" width="35" customWidth="1"/>
    <col min="2" max="2" width="18" customWidth="1"/>
    <col min="3" max="3" width="78" customWidth="1"/>
    <col min="4" max="4" width="52" customWidth="1"/>
    <col min="5" max="5" width="105" customWidth="1"/>
  </cols>
  <sheetData>
    <row r="1" ht="28.05" customHeight="1" spans="1:5">
      <c r="A1" s="1" t="s">
        <v>9</v>
      </c>
    </row>
    <row r="2" ht="31.95" customHeight="1" spans="1:5">
      <c r="A2" s="2" t="s">
        <v>61</v>
      </c>
    </row>
    <row r="4" ht="30" customHeight="1" spans="1:5">
      <c r="A4" s="3" t="s">
        <v>23</v>
      </c>
      <c r="B4" s="4" t="s">
        <v>24</v>
      </c>
      <c r="C4" s="4" t="s">
        <v>25</v>
      </c>
      <c r="D4" s="4" t="s">
        <v>26</v>
      </c>
      <c r="E4" s="5" t="s">
        <v>27</v>
      </c>
    </row>
    <row r="5" ht="66" customHeight="1" spans="1:5">
      <c r="A5" s="6" t="s">
        <v>86</v>
      </c>
      <c r="B5" s="7" t="s">
        <v>29</v>
      </c>
      <c r="C5" s="6" t="s">
        <v>87</v>
      </c>
      <c r="D5" s="6" t="s">
        <v>88</v>
      </c>
      <c r="E5" s="6" t="s">
        <v>89</v>
      </c>
    </row>
    <row r="6" ht="66" customHeight="1" spans="1:5">
      <c r="A6" s="8" t="s">
        <v>90</v>
      </c>
      <c r="B6" s="9" t="s">
        <v>29</v>
      </c>
      <c r="C6" s="8" t="s">
        <v>91</v>
      </c>
      <c r="D6" s="8" t="s">
        <v>92</v>
      </c>
      <c r="E6" s="8" t="s">
        <v>93</v>
      </c>
    </row>
    <row r="7" ht="66" customHeight="1" spans="1:5">
      <c r="A7" s="10" t="s">
        <v>94</v>
      </c>
      <c r="B7" s="11" t="s">
        <v>29</v>
      </c>
      <c r="C7" s="10" t="s">
        <v>95</v>
      </c>
      <c r="D7" s="10" t="s">
        <v>96</v>
      </c>
      <c r="E7" s="10" t="s">
        <v>97</v>
      </c>
    </row>
    <row r="8" ht="66" customHeight="1" spans="1:5">
      <c r="A8" s="8" t="s">
        <v>98</v>
      </c>
      <c r="B8" s="9" t="s">
        <v>29</v>
      </c>
      <c r="C8" s="8" t="s">
        <v>99</v>
      </c>
      <c r="D8" s="8" t="s">
        <v>100</v>
      </c>
      <c r="E8" s="8" t="s">
        <v>101</v>
      </c>
    </row>
    <row r="9" ht="66" customHeight="1" spans="1:5">
      <c r="A9" s="10" t="s">
        <v>102</v>
      </c>
      <c r="B9" s="11" t="s">
        <v>29</v>
      </c>
      <c r="C9" s="10" t="s">
        <v>103</v>
      </c>
      <c r="D9" s="10" t="s">
        <v>104</v>
      </c>
      <c r="E9" s="10" t="s">
        <v>105</v>
      </c>
    </row>
    <row r="10" ht="66" customHeight="1" spans="1:5">
      <c r="A10" s="8" t="s">
        <v>106</v>
      </c>
      <c r="B10" s="9" t="s">
        <v>29</v>
      </c>
      <c r="C10" s="8" t="s">
        <v>107</v>
      </c>
      <c r="D10" s="8" t="s">
        <v>108</v>
      </c>
      <c r="E10" s="8" t="s">
        <v>109</v>
      </c>
    </row>
    <row r="11" ht="66" customHeight="1"/>
    <row r="12" ht="66" customHeight="1"/>
    <row r="13" ht="66" customHeight="1"/>
    <row r="14" ht="66" customHeight="1"/>
    <row r="15" ht="66" customHeight="1"/>
    <row r="16" ht="66" customHeight="1"/>
    <row r="17" ht="78" customHeight="1"/>
    <row r="18" ht="78" customHeight="1"/>
    <row r="19" ht="78" customHeight="1"/>
    <row r="20" ht="78" customHeight="1"/>
    <row r="21" ht="78" customHeight="1"/>
    <row r="22" ht="78" customHeight="1"/>
  </sheetData>
  <mergeCells count="2">
    <mergeCell ref="A1:E1"/>
    <mergeCell ref="A2:E2"/>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showGridLines="0" workbookViewId="0">
      <selection activeCell="A1" sqref="A1:E1"/>
    </sheetView>
  </sheetViews>
  <sheetFormatPr defaultColWidth="9" defaultRowHeight="13.8" outlineLevelCol="4"/>
  <cols>
    <col min="1" max="1" width="35" customWidth="1"/>
    <col min="2" max="2" width="18" customWidth="1"/>
    <col min="3" max="3" width="78" customWidth="1"/>
    <col min="4" max="4" width="52" customWidth="1"/>
    <col min="5" max="5" width="105" customWidth="1"/>
  </cols>
  <sheetData>
    <row r="1" ht="28.05" customHeight="1" spans="1:5">
      <c r="A1" s="1" t="s">
        <v>10</v>
      </c>
    </row>
    <row r="2" ht="31.95" customHeight="1" spans="1:5">
      <c r="A2" s="2" t="s">
        <v>110</v>
      </c>
    </row>
    <row r="4" ht="30" customHeight="1" spans="1:5">
      <c r="A4" s="3" t="s">
        <v>23</v>
      </c>
      <c r="B4" s="4" t="s">
        <v>24</v>
      </c>
      <c r="C4" s="4" t="s">
        <v>25</v>
      </c>
      <c r="D4" s="4" t="s">
        <v>26</v>
      </c>
      <c r="E4" s="5" t="s">
        <v>27</v>
      </c>
    </row>
    <row r="5" ht="66" customHeight="1" spans="1:5">
      <c r="A5" s="6" t="s">
        <v>111</v>
      </c>
      <c r="B5" s="7" t="s">
        <v>29</v>
      </c>
      <c r="C5" s="6" t="s">
        <v>112</v>
      </c>
      <c r="D5" s="6" t="s">
        <v>113</v>
      </c>
      <c r="E5" s="6" t="s">
        <v>114</v>
      </c>
    </row>
    <row r="6" ht="66" customHeight="1" spans="1:5">
      <c r="A6" s="8" t="s">
        <v>115</v>
      </c>
      <c r="B6" s="9" t="s">
        <v>29</v>
      </c>
      <c r="C6" s="8" t="s">
        <v>116</v>
      </c>
      <c r="D6" s="8" t="s">
        <v>117</v>
      </c>
      <c r="E6" s="8" t="s">
        <v>118</v>
      </c>
    </row>
    <row r="7" ht="66" customHeight="1" spans="1:5">
      <c r="A7" s="10" t="s">
        <v>119</v>
      </c>
      <c r="B7" s="11" t="s">
        <v>29</v>
      </c>
      <c r="C7" s="10" t="s">
        <v>120</v>
      </c>
      <c r="D7" s="10" t="s">
        <v>121</v>
      </c>
      <c r="E7" s="10" t="s">
        <v>122</v>
      </c>
    </row>
    <row r="8" ht="66" customHeight="1" spans="1:5">
      <c r="A8" s="12" t="s">
        <v>123</v>
      </c>
      <c r="B8" s="13" t="s">
        <v>29</v>
      </c>
      <c r="C8" s="12" t="s">
        <v>124</v>
      </c>
      <c r="D8" s="12" t="s">
        <v>125</v>
      </c>
      <c r="E8" s="12" t="s">
        <v>126</v>
      </c>
    </row>
    <row r="9" ht="82.05" customHeight="1"/>
    <row r="10" ht="82.05" customHeight="1"/>
    <row r="11" ht="82.05" customHeight="1"/>
    <row r="12" ht="82.05" customHeight="1"/>
    <row r="13" ht="82.05" customHeight="1"/>
    <row r="14" ht="82.05" customHeight="1"/>
    <row r="15" ht="82.05" customHeight="1"/>
    <row r="16" ht="82.05" customHeight="1"/>
  </sheetData>
  <mergeCells count="2">
    <mergeCell ref="A1:E1"/>
    <mergeCell ref="A2:E2"/>
  </mergeCell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showGridLines="0" workbookViewId="0">
      <selection activeCell="A1" sqref="A1:E1"/>
    </sheetView>
  </sheetViews>
  <sheetFormatPr defaultColWidth="9" defaultRowHeight="13.8" outlineLevelCol="4"/>
  <cols>
    <col min="1" max="1" width="35" customWidth="1"/>
    <col min="2" max="2" width="18" customWidth="1"/>
    <col min="3" max="3" width="78" customWidth="1"/>
    <col min="4" max="4" width="52" customWidth="1"/>
    <col min="5" max="5" width="105" customWidth="1"/>
  </cols>
  <sheetData>
    <row r="1" ht="28.05" customHeight="1" spans="1:5">
      <c r="A1" s="1" t="s">
        <v>11</v>
      </c>
    </row>
    <row r="2" ht="31.95" customHeight="1" spans="1:5">
      <c r="A2" s="2" t="s">
        <v>61</v>
      </c>
    </row>
    <row r="4" ht="30" customHeight="1" spans="1:5">
      <c r="A4" s="3" t="s">
        <v>23</v>
      </c>
      <c r="B4" s="4" t="s">
        <v>24</v>
      </c>
      <c r="C4" s="4" t="s">
        <v>25</v>
      </c>
      <c r="D4" s="4" t="s">
        <v>26</v>
      </c>
      <c r="E4" s="5" t="s">
        <v>27</v>
      </c>
    </row>
    <row r="5" ht="66" customHeight="1" spans="1:5">
      <c r="A5" s="6" t="s">
        <v>127</v>
      </c>
      <c r="B5" s="7" t="s">
        <v>29</v>
      </c>
      <c r="C5" s="6" t="s">
        <v>128</v>
      </c>
      <c r="D5" s="6" t="s">
        <v>129</v>
      </c>
      <c r="E5" s="6" t="s">
        <v>130</v>
      </c>
    </row>
    <row r="6" ht="66" customHeight="1" spans="1:5">
      <c r="A6" s="12" t="s">
        <v>131</v>
      </c>
      <c r="B6" s="13" t="s">
        <v>29</v>
      </c>
      <c r="C6" s="12" t="s">
        <v>132</v>
      </c>
      <c r="D6" s="12" t="s">
        <v>133</v>
      </c>
      <c r="E6" s="12" t="s">
        <v>134</v>
      </c>
    </row>
    <row r="7" ht="105" customHeight="1" spans="1:5">
      <c r="A7" s="6" t="s">
        <v>135</v>
      </c>
      <c r="B7" s="6" t="s">
        <v>29</v>
      </c>
      <c r="C7" s="6" t="s">
        <v>136</v>
      </c>
      <c r="D7" s="6" t="s">
        <v>137</v>
      </c>
      <c r="E7" s="6" t="s">
        <v>138</v>
      </c>
    </row>
    <row r="8" ht="105" customHeight="1" spans="1:5">
      <c r="A8" s="20" t="s">
        <v>139</v>
      </c>
      <c r="B8" s="20" t="s">
        <v>29</v>
      </c>
      <c r="C8" s="20" t="s">
        <v>140</v>
      </c>
      <c r="D8" s="20" t="s">
        <v>141</v>
      </c>
      <c r="E8" s="20" t="s">
        <v>142</v>
      </c>
    </row>
    <row r="9" ht="105" customHeight="1" spans="1:5">
      <c r="A9" s="6" t="s">
        <v>143</v>
      </c>
      <c r="B9" s="6" t="s">
        <v>29</v>
      </c>
      <c r="C9" s="6" t="s">
        <v>144</v>
      </c>
      <c r="D9" s="6" t="s">
        <v>145</v>
      </c>
      <c r="E9" s="6" t="s">
        <v>146</v>
      </c>
    </row>
    <row r="10" ht="105" customHeight="1" spans="1:5">
      <c r="A10" s="20" t="s">
        <v>147</v>
      </c>
      <c r="B10" s="20" t="s">
        <v>29</v>
      </c>
      <c r="C10" s="20" t="s">
        <v>148</v>
      </c>
      <c r="D10" s="20" t="s">
        <v>149</v>
      </c>
      <c r="E10" s="20" t="s">
        <v>150</v>
      </c>
    </row>
  </sheetData>
  <mergeCells count="2">
    <mergeCell ref="A1:E1"/>
    <mergeCell ref="A2:E2"/>
  </mergeCells>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showGridLines="0" workbookViewId="0">
      <selection activeCell="A1" sqref="A1:E1"/>
    </sheetView>
  </sheetViews>
  <sheetFormatPr defaultColWidth="9" defaultRowHeight="13.8" outlineLevelCol="4"/>
  <cols>
    <col min="1" max="1" width="35" customWidth="1"/>
    <col min="2" max="2" width="18" customWidth="1"/>
    <col min="3" max="3" width="78" customWidth="1"/>
    <col min="4" max="4" width="52" customWidth="1"/>
    <col min="5" max="5" width="105" customWidth="1"/>
  </cols>
  <sheetData>
    <row r="1" ht="28.05" customHeight="1" spans="1:5">
      <c r="A1" s="1" t="s">
        <v>12</v>
      </c>
    </row>
    <row r="2" ht="31.95" customHeight="1" spans="1:5">
      <c r="A2" s="2" t="s">
        <v>61</v>
      </c>
    </row>
    <row r="4" ht="30" customHeight="1" spans="1:5">
      <c r="A4" s="3" t="s">
        <v>23</v>
      </c>
      <c r="B4" s="4" t="s">
        <v>24</v>
      </c>
      <c r="C4" s="4" t="s">
        <v>25</v>
      </c>
      <c r="D4" s="4" t="s">
        <v>26</v>
      </c>
      <c r="E4" s="5" t="s">
        <v>27</v>
      </c>
    </row>
    <row r="5" ht="66" customHeight="1" spans="1:5">
      <c r="A5" s="6" t="s">
        <v>151</v>
      </c>
      <c r="B5" s="7" t="s">
        <v>29</v>
      </c>
      <c r="C5" s="6" t="s">
        <v>152</v>
      </c>
      <c r="D5" s="6" t="s">
        <v>153</v>
      </c>
      <c r="E5" s="6" t="s">
        <v>154</v>
      </c>
    </row>
    <row r="6" ht="66" customHeight="1" spans="1:5">
      <c r="A6" s="12" t="s">
        <v>155</v>
      </c>
      <c r="B6" s="13" t="s">
        <v>29</v>
      </c>
      <c r="C6" s="12" t="s">
        <v>156</v>
      </c>
      <c r="D6" s="12" t="s">
        <v>157</v>
      </c>
      <c r="E6" s="12" t="s">
        <v>158</v>
      </c>
    </row>
    <row r="7" ht="91.95" customHeight="1" spans="1:5">
      <c r="A7" s="6" t="s">
        <v>159</v>
      </c>
      <c r="B7" s="7" t="s">
        <v>29</v>
      </c>
      <c r="C7" s="6" t="s">
        <v>160</v>
      </c>
      <c r="D7" s="6" t="s">
        <v>161</v>
      </c>
      <c r="E7" s="6" t="s">
        <v>162</v>
      </c>
    </row>
    <row r="8" ht="91.95" customHeight="1" spans="1:5">
      <c r="A8" s="19" t="s">
        <v>163</v>
      </c>
      <c r="B8" s="20" t="s">
        <v>29</v>
      </c>
      <c r="C8" s="21" t="s">
        <v>164</v>
      </c>
      <c r="D8" s="21" t="s">
        <v>165</v>
      </c>
      <c r="E8" s="22" t="s">
        <v>166</v>
      </c>
    </row>
    <row r="9" ht="91.95" customHeight="1" spans="1:5">
      <c r="A9" s="6" t="s">
        <v>167</v>
      </c>
      <c r="B9" s="7" t="s">
        <v>29</v>
      </c>
      <c r="C9" s="6" t="s">
        <v>168</v>
      </c>
      <c r="D9" s="6" t="s">
        <v>169</v>
      </c>
      <c r="E9" s="6" t="s">
        <v>170</v>
      </c>
    </row>
    <row r="10" ht="91.95" customHeight="1" spans="1:5">
      <c r="A10" s="19" t="s">
        <v>171</v>
      </c>
      <c r="B10" s="20" t="s">
        <v>29</v>
      </c>
      <c r="C10" s="21" t="s">
        <v>172</v>
      </c>
      <c r="D10" s="21" t="s">
        <v>173</v>
      </c>
      <c r="E10" s="22" t="s">
        <v>174</v>
      </c>
    </row>
  </sheetData>
  <mergeCells count="2">
    <mergeCell ref="A1:E1"/>
    <mergeCell ref="A2:E2"/>
  </mergeCells>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showGridLines="0" workbookViewId="0">
      <selection activeCell="A1" sqref="A1:E1"/>
    </sheetView>
  </sheetViews>
  <sheetFormatPr defaultColWidth="9" defaultRowHeight="13.8" outlineLevelCol="5"/>
  <cols>
    <col min="1" max="1" width="75.125" customWidth="1"/>
    <col min="2" max="2" width="18" customWidth="1"/>
    <col min="3" max="3" width="78" customWidth="1"/>
    <col min="4" max="4" width="52" customWidth="1"/>
    <col min="5" max="5" width="105" customWidth="1"/>
  </cols>
  <sheetData>
    <row r="1" ht="28.05" customHeight="1" spans="1:6">
      <c r="A1" s="1" t="s">
        <v>13</v>
      </c>
    </row>
    <row r="2" ht="31.95" customHeight="1" spans="1:6">
      <c r="A2" s="2" t="s">
        <v>175</v>
      </c>
    </row>
    <row r="4" ht="30" customHeight="1" spans="1:6">
      <c r="A4" s="3" t="s">
        <v>23</v>
      </c>
      <c r="B4" s="4" t="s">
        <v>24</v>
      </c>
      <c r="C4" s="4" t="s">
        <v>25</v>
      </c>
      <c r="D4" s="4" t="s">
        <v>26</v>
      </c>
      <c r="E4" s="5" t="s">
        <v>27</v>
      </c>
    </row>
    <row r="5" ht="66" customHeight="1" spans="1:6">
      <c r="A5" s="8" t="s">
        <v>176</v>
      </c>
      <c r="B5" s="9" t="s">
        <v>29</v>
      </c>
      <c r="C5" s="8" t="s">
        <v>177</v>
      </c>
      <c r="D5" s="8" t="s">
        <v>178</v>
      </c>
      <c r="E5" s="8" t="s">
        <v>179</v>
      </c>
    </row>
    <row r="6" ht="66" customHeight="1" spans="1:6">
      <c r="A6" s="10" t="s">
        <v>180</v>
      </c>
      <c r="B6" s="11" t="s">
        <v>29</v>
      </c>
      <c r="C6" s="10" t="s">
        <v>181</v>
      </c>
      <c r="D6" s="10" t="s">
        <v>182</v>
      </c>
      <c r="E6" s="10" t="s">
        <v>183</v>
      </c>
    </row>
    <row r="7" ht="66" customHeight="1" spans="1:6">
      <c r="A7" s="8" t="s">
        <v>184</v>
      </c>
      <c r="B7" s="9" t="s">
        <v>29</v>
      </c>
      <c r="C7" s="8" t="s">
        <v>185</v>
      </c>
      <c r="D7" s="8" t="s">
        <v>186</v>
      </c>
      <c r="E7" s="8" t="s">
        <v>187</v>
      </c>
    </row>
    <row r="8" ht="66" customHeight="1" spans="1:6">
      <c r="A8" s="10" t="s">
        <v>188</v>
      </c>
      <c r="B8" s="11" t="s">
        <v>29</v>
      </c>
      <c r="C8" s="10" t="s">
        <v>189</v>
      </c>
      <c r="D8" s="10" t="s">
        <v>190</v>
      </c>
      <c r="E8" s="10" t="s">
        <v>191</v>
      </c>
    </row>
    <row r="9" ht="66" customHeight="1" spans="1:6">
      <c r="A9" s="8" t="s">
        <v>192</v>
      </c>
      <c r="B9" s="8" t="s">
        <v>29</v>
      </c>
      <c r="C9" s="8" t="s">
        <v>193</v>
      </c>
      <c r="D9" s="8" t="s">
        <v>194</v>
      </c>
      <c r="E9" s="8" t="s">
        <v>195</v>
      </c>
      <c r="F9" s="8"/>
    </row>
    <row r="10" ht="66" customHeight="1" spans="1:6">
      <c r="A10" s="10" t="s">
        <v>196</v>
      </c>
      <c r="B10" s="11" t="s">
        <v>29</v>
      </c>
      <c r="C10" s="10" t="s">
        <v>197</v>
      </c>
      <c r="D10" s="10" t="s">
        <v>198</v>
      </c>
      <c r="E10" s="10" t="s">
        <v>199</v>
      </c>
    </row>
    <row r="11" ht="66" customHeight="1" spans="1:6">
      <c r="A11" s="8" t="s">
        <v>200</v>
      </c>
      <c r="B11" s="9" t="s">
        <v>29</v>
      </c>
      <c r="C11" s="8" t="s">
        <v>201</v>
      </c>
      <c r="D11" s="8" t="s">
        <v>202</v>
      </c>
      <c r="E11" s="8" t="s">
        <v>203</v>
      </c>
    </row>
    <row r="12" ht="66" customHeight="1" spans="1:6">
      <c r="A12" s="15" t="s">
        <v>204</v>
      </c>
      <c r="B12" s="11" t="s">
        <v>29</v>
      </c>
      <c r="C12" s="10" t="s">
        <v>205</v>
      </c>
      <c r="D12" s="10" t="s">
        <v>206</v>
      </c>
      <c r="E12" s="16" t="s">
        <v>207</v>
      </c>
    </row>
    <row r="13" ht="66" customHeight="1" spans="1:6">
      <c r="A13" s="17" t="s">
        <v>208</v>
      </c>
      <c r="B13" s="9" t="s">
        <v>29</v>
      </c>
      <c r="C13" s="8" t="s">
        <v>209</v>
      </c>
      <c r="D13" s="8" t="s">
        <v>210</v>
      </c>
      <c r="E13" s="18" t="s">
        <v>211</v>
      </c>
    </row>
    <row r="14" ht="66" customHeight="1" spans="1:6">
      <c r="A14" s="15" t="s">
        <v>212</v>
      </c>
      <c r="B14" s="11" t="s">
        <v>29</v>
      </c>
      <c r="C14" s="10" t="s">
        <v>213</v>
      </c>
      <c r="D14" s="10" t="s">
        <v>214</v>
      </c>
      <c r="E14" s="16" t="s">
        <v>215</v>
      </c>
    </row>
    <row r="15" ht="66" customHeight="1"/>
    <row r="16" ht="66" customHeight="1"/>
  </sheetData>
  <mergeCells count="2">
    <mergeCell ref="A1:E1"/>
    <mergeCell ref="A2:E2"/>
  </mergeCells>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showGridLines="0" workbookViewId="0">
      <selection activeCell="A1" sqref="A1:E1"/>
    </sheetView>
  </sheetViews>
  <sheetFormatPr defaultColWidth="9" defaultRowHeight="13.8" outlineLevelCol="4"/>
  <cols>
    <col min="1" max="1" width="35" customWidth="1"/>
    <col min="2" max="2" width="18" customWidth="1"/>
    <col min="3" max="3" width="78" customWidth="1"/>
    <col min="4" max="4" width="52" customWidth="1"/>
    <col min="5" max="5" width="105" customWidth="1"/>
  </cols>
  <sheetData>
    <row r="1" ht="28.05" customHeight="1" spans="1:5">
      <c r="A1" s="1" t="s">
        <v>14</v>
      </c>
    </row>
    <row r="2" ht="31.95" customHeight="1" spans="1:5">
      <c r="A2" s="2" t="s">
        <v>22</v>
      </c>
    </row>
    <row r="4" ht="30" customHeight="1" spans="1:5">
      <c r="A4" s="3" t="s">
        <v>23</v>
      </c>
      <c r="B4" s="4" t="s">
        <v>24</v>
      </c>
      <c r="C4" s="4" t="s">
        <v>25</v>
      </c>
      <c r="D4" s="4" t="s">
        <v>26</v>
      </c>
      <c r="E4" s="5" t="s">
        <v>27</v>
      </c>
    </row>
    <row r="5" ht="66" customHeight="1" spans="1:5">
      <c r="A5" s="6" t="s">
        <v>216</v>
      </c>
      <c r="B5" s="6" t="s">
        <v>29</v>
      </c>
      <c r="C5" s="6" t="s">
        <v>217</v>
      </c>
      <c r="D5" s="6" t="s">
        <v>218</v>
      </c>
      <c r="E5" s="6" t="s">
        <v>219</v>
      </c>
    </row>
    <row r="6" ht="66" customHeight="1" spans="1:5">
      <c r="A6" s="14" t="s">
        <v>220</v>
      </c>
      <c r="B6" s="14" t="s">
        <v>29</v>
      </c>
      <c r="C6" s="14" t="s">
        <v>221</v>
      </c>
      <c r="D6" s="8" t="s">
        <v>222</v>
      </c>
      <c r="E6" s="8" t="s">
        <v>223</v>
      </c>
    </row>
    <row r="7" ht="66" customHeight="1" spans="1:5">
      <c r="A7" s="6" t="s">
        <v>224</v>
      </c>
      <c r="B7" s="6" t="s">
        <v>29</v>
      </c>
      <c r="C7" s="6" t="s">
        <v>225</v>
      </c>
      <c r="D7" s="10" t="s">
        <v>226</v>
      </c>
      <c r="E7" s="10" t="s">
        <v>227</v>
      </c>
    </row>
    <row r="8" ht="66" customHeight="1" spans="1:5">
      <c r="A8" s="14" t="s">
        <v>228</v>
      </c>
      <c r="B8" s="14" t="s">
        <v>29</v>
      </c>
      <c r="C8" s="14" t="s">
        <v>229</v>
      </c>
      <c r="D8" s="8" t="s">
        <v>230</v>
      </c>
      <c r="E8" s="8" t="s">
        <v>231</v>
      </c>
    </row>
    <row r="9" ht="66" customHeight="1" spans="1:5">
      <c r="A9" s="6" t="s">
        <v>232</v>
      </c>
      <c r="B9" s="6" t="s">
        <v>29</v>
      </c>
      <c r="C9" s="6" t="s">
        <v>233</v>
      </c>
      <c r="D9" s="10" t="s">
        <v>234</v>
      </c>
      <c r="E9" s="10" t="s">
        <v>235</v>
      </c>
    </row>
    <row r="10" ht="66" customHeight="1" spans="1:5">
      <c r="A10" s="14" t="s">
        <v>236</v>
      </c>
      <c r="B10" s="14" t="s">
        <v>29</v>
      </c>
      <c r="C10" s="14" t="s">
        <v>237</v>
      </c>
      <c r="D10" s="8" t="s">
        <v>238</v>
      </c>
      <c r="E10" s="8" t="s">
        <v>239</v>
      </c>
    </row>
    <row r="11" ht="66" customHeight="1" spans="1:5">
      <c r="A11" s="6" t="s">
        <v>240</v>
      </c>
      <c r="B11" s="6" t="s">
        <v>29</v>
      </c>
      <c r="C11" s="6" t="s">
        <v>241</v>
      </c>
      <c r="D11" s="10" t="s">
        <v>242</v>
      </c>
      <c r="E11" s="10" t="s">
        <v>243</v>
      </c>
    </row>
    <row r="12" ht="66" customHeight="1" spans="1:5">
      <c r="A12" s="14" t="s">
        <v>244</v>
      </c>
      <c r="B12" s="14" t="s">
        <v>29</v>
      </c>
      <c r="C12" s="14" t="s">
        <v>245</v>
      </c>
      <c r="D12" s="12" t="s">
        <v>246</v>
      </c>
      <c r="E12" s="12" t="s">
        <v>247</v>
      </c>
    </row>
  </sheetData>
  <mergeCells count="2">
    <mergeCell ref="A1:E1"/>
    <mergeCell ref="A2:E2"/>
  </mergeCells>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showGridLines="0" workbookViewId="0">
      <selection activeCell="A1" sqref="A1:E1"/>
    </sheetView>
  </sheetViews>
  <sheetFormatPr defaultColWidth="9" defaultRowHeight="13.8" outlineLevelCol="4"/>
  <cols>
    <col min="1" max="1" width="35" customWidth="1"/>
    <col min="2" max="2" width="18" customWidth="1"/>
    <col min="3" max="3" width="78" customWidth="1"/>
    <col min="4" max="4" width="52" customWidth="1"/>
    <col min="5" max="5" width="105" customWidth="1"/>
  </cols>
  <sheetData>
    <row r="1" ht="28.05" customHeight="1" spans="1:5">
      <c r="A1" s="1" t="s">
        <v>15</v>
      </c>
    </row>
    <row r="2" ht="31.95" customHeight="1" spans="1:5">
      <c r="A2" s="2" t="s">
        <v>22</v>
      </c>
    </row>
    <row r="4" ht="30" customHeight="1" spans="1:5">
      <c r="A4" s="3" t="s">
        <v>23</v>
      </c>
      <c r="B4" s="4" t="s">
        <v>24</v>
      </c>
      <c r="C4" s="4" t="s">
        <v>25</v>
      </c>
      <c r="D4" s="4" t="s">
        <v>26</v>
      </c>
      <c r="E4" s="5" t="s">
        <v>27</v>
      </c>
    </row>
    <row r="5" ht="66" customHeight="1" spans="1:5">
      <c r="A5" s="6" t="s">
        <v>248</v>
      </c>
      <c r="B5" s="6" t="s">
        <v>29</v>
      </c>
      <c r="C5" s="6" t="s">
        <v>249</v>
      </c>
      <c r="D5" s="6" t="s">
        <v>250</v>
      </c>
      <c r="E5" s="6" t="s">
        <v>251</v>
      </c>
    </row>
    <row r="6" ht="66" customHeight="1" spans="1:5">
      <c r="A6" s="14" t="s">
        <v>252</v>
      </c>
      <c r="B6" s="14" t="s">
        <v>29</v>
      </c>
      <c r="C6" s="14" t="s">
        <v>253</v>
      </c>
      <c r="D6" s="8" t="s">
        <v>254</v>
      </c>
      <c r="E6" s="8" t="s">
        <v>255</v>
      </c>
    </row>
    <row r="7" ht="66" customHeight="1" spans="1:5">
      <c r="A7" s="6" t="s">
        <v>256</v>
      </c>
      <c r="B7" s="6" t="s">
        <v>29</v>
      </c>
      <c r="C7" s="6" t="s">
        <v>257</v>
      </c>
      <c r="D7" s="10" t="s">
        <v>258</v>
      </c>
      <c r="E7" s="10" t="s">
        <v>259</v>
      </c>
    </row>
    <row r="8" ht="66" customHeight="1" spans="1:5">
      <c r="A8" s="14" t="s">
        <v>260</v>
      </c>
      <c r="B8" s="14" t="s">
        <v>29</v>
      </c>
      <c r="C8" s="14" t="s">
        <v>261</v>
      </c>
      <c r="D8" s="8" t="s">
        <v>262</v>
      </c>
      <c r="E8" s="8" t="s">
        <v>263</v>
      </c>
    </row>
    <row r="9" ht="66" customHeight="1" spans="1:5">
      <c r="A9" s="6" t="s">
        <v>264</v>
      </c>
      <c r="B9" s="6" t="s">
        <v>29</v>
      </c>
      <c r="C9" s="6" t="s">
        <v>265</v>
      </c>
      <c r="D9" s="10" t="s">
        <v>266</v>
      </c>
      <c r="E9" s="10" t="s">
        <v>267</v>
      </c>
    </row>
    <row r="10" ht="66" customHeight="1" spans="1:5">
      <c r="A10" s="14" t="s">
        <v>268</v>
      </c>
      <c r="B10" s="14" t="s">
        <v>29</v>
      </c>
      <c r="C10" s="14" t="s">
        <v>269</v>
      </c>
      <c r="D10" s="8" t="s">
        <v>270</v>
      </c>
      <c r="E10" s="8" t="s">
        <v>271</v>
      </c>
    </row>
    <row r="11" ht="66" customHeight="1" spans="1:5">
      <c r="A11" s="6" t="s">
        <v>272</v>
      </c>
      <c r="B11" s="6" t="s">
        <v>29</v>
      </c>
      <c r="C11" s="6" t="s">
        <v>273</v>
      </c>
      <c r="D11" s="10" t="s">
        <v>274</v>
      </c>
      <c r="E11" s="10" t="s">
        <v>275</v>
      </c>
    </row>
    <row r="12" ht="66" customHeight="1" spans="1:5">
      <c r="A12" s="14" t="s">
        <v>276</v>
      </c>
      <c r="B12" s="14" t="s">
        <v>29</v>
      </c>
      <c r="C12" s="14" t="s">
        <v>277</v>
      </c>
      <c r="D12" s="12" t="s">
        <v>278</v>
      </c>
      <c r="E12" s="12" t="s">
        <v>279</v>
      </c>
    </row>
  </sheetData>
  <mergeCells count="2">
    <mergeCell ref="A1:E1"/>
    <mergeCell ref="A2:E2"/>
  </mergeCells>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showGridLines="0" topLeftCell="A2" workbookViewId="0">
      <selection activeCell="A1" sqref="A1:E1"/>
    </sheetView>
  </sheetViews>
  <sheetFormatPr defaultColWidth="9" defaultRowHeight="13.8" outlineLevelCol="4"/>
  <cols>
    <col min="1" max="1" width="35" customWidth="1"/>
    <col min="2" max="2" width="18" customWidth="1"/>
    <col min="3" max="3" width="78" customWidth="1"/>
    <col min="4" max="4" width="52" customWidth="1"/>
    <col min="5" max="5" width="105" customWidth="1"/>
  </cols>
  <sheetData>
    <row r="1" ht="28.05" customHeight="1" spans="1:5">
      <c r="A1" s="1" t="s">
        <v>16</v>
      </c>
    </row>
    <row r="2" ht="31.95" customHeight="1" spans="1:5">
      <c r="A2" s="2" t="s">
        <v>22</v>
      </c>
    </row>
    <row r="4" ht="30" customHeight="1" spans="1:5">
      <c r="A4" s="3" t="s">
        <v>23</v>
      </c>
      <c r="B4" s="4" t="s">
        <v>24</v>
      </c>
      <c r="C4" s="4" t="s">
        <v>25</v>
      </c>
      <c r="D4" s="4" t="s">
        <v>26</v>
      </c>
      <c r="E4" s="5" t="s">
        <v>27</v>
      </c>
    </row>
    <row r="5" ht="26.4" customHeight="1" spans="1:5">
      <c r="A5" s="6" t="s">
        <v>280</v>
      </c>
      <c r="B5" s="7" t="s">
        <v>29</v>
      </c>
      <c r="C5" s="6" t="s">
        <v>281</v>
      </c>
      <c r="D5" s="6" t="s">
        <v>282</v>
      </c>
      <c r="E5" s="6" t="s">
        <v>283</v>
      </c>
    </row>
    <row r="6" ht="39.6" customHeight="1" spans="1:5">
      <c r="A6" s="8" t="s">
        <v>284</v>
      </c>
      <c r="B6" s="9" t="s">
        <v>29</v>
      </c>
      <c r="C6" s="8" t="s">
        <v>285</v>
      </c>
      <c r="D6" s="8" t="s">
        <v>286</v>
      </c>
      <c r="E6" s="8" t="s">
        <v>287</v>
      </c>
    </row>
    <row r="7" ht="26.4" customHeight="1" spans="1:5">
      <c r="A7" s="10" t="s">
        <v>288</v>
      </c>
      <c r="B7" s="11" t="s">
        <v>29</v>
      </c>
      <c r="C7" s="10" t="s">
        <v>289</v>
      </c>
      <c r="D7" s="10" t="s">
        <v>290</v>
      </c>
      <c r="E7" s="10" t="s">
        <v>291</v>
      </c>
    </row>
    <row r="8" ht="39.6" customHeight="1" spans="1:5">
      <c r="A8" s="8" t="s">
        <v>292</v>
      </c>
      <c r="B8" s="9" t="s">
        <v>29</v>
      </c>
      <c r="C8" s="8" t="s">
        <v>293</v>
      </c>
      <c r="D8" s="8" t="s">
        <v>294</v>
      </c>
      <c r="E8" s="8" t="s">
        <v>295</v>
      </c>
    </row>
    <row r="9" ht="39.6" customHeight="1" spans="1:5">
      <c r="A9" s="10" t="s">
        <v>296</v>
      </c>
      <c r="B9" s="11" t="s">
        <v>29</v>
      </c>
      <c r="C9" s="10" t="s">
        <v>297</v>
      </c>
      <c r="D9" s="10" t="s">
        <v>298</v>
      </c>
      <c r="E9" s="10" t="s">
        <v>299</v>
      </c>
    </row>
    <row r="10" ht="52.8" customHeight="1" spans="1:5">
      <c r="A10" s="8" t="s">
        <v>300</v>
      </c>
      <c r="B10" s="9" t="s">
        <v>29</v>
      </c>
      <c r="C10" s="8" t="s">
        <v>301</v>
      </c>
      <c r="D10" s="8" t="s">
        <v>302</v>
      </c>
      <c r="E10" s="8" t="s">
        <v>303</v>
      </c>
    </row>
    <row r="11" ht="52.8" customHeight="1" spans="1:5">
      <c r="A11" s="10" t="s">
        <v>304</v>
      </c>
      <c r="B11" s="11" t="s">
        <v>29</v>
      </c>
      <c r="C11" s="10" t="s">
        <v>305</v>
      </c>
      <c r="D11" s="10" t="s">
        <v>306</v>
      </c>
      <c r="E11" s="10" t="s">
        <v>307</v>
      </c>
    </row>
    <row r="12" ht="39.6" customHeight="1" spans="1:5">
      <c r="A12" s="12" t="s">
        <v>308</v>
      </c>
      <c r="B12" s="13" t="s">
        <v>29</v>
      </c>
      <c r="C12" s="12" t="s">
        <v>309</v>
      </c>
      <c r="D12" s="12" t="s">
        <v>310</v>
      </c>
      <c r="E12" s="12" t="s">
        <v>311</v>
      </c>
    </row>
  </sheetData>
  <mergeCells count="2">
    <mergeCell ref="A1:E1"/>
    <mergeCell ref="A2:E2"/>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showGridLines="0" workbookViewId="0">
      <selection activeCell="A1" sqref="A1:E1"/>
    </sheetView>
  </sheetViews>
  <sheetFormatPr defaultColWidth="9" defaultRowHeight="13.8" outlineLevelRow="7" outlineLevelCol="4"/>
  <cols>
    <col min="1" max="1" width="35" customWidth="1"/>
    <col min="2" max="2" width="18" customWidth="1"/>
    <col min="3" max="3" width="78" customWidth="1"/>
    <col min="4" max="4" width="52" customWidth="1"/>
    <col min="5" max="5" width="105" customWidth="1"/>
  </cols>
  <sheetData>
    <row r="1" ht="28.05" customHeight="1" spans="1:5">
      <c r="A1" s="1" t="s">
        <v>17</v>
      </c>
    </row>
    <row r="2" ht="31.95" customHeight="1" spans="1:5">
      <c r="A2" s="2" t="s">
        <v>110</v>
      </c>
    </row>
    <row r="4" ht="30" customHeight="1" spans="1:5">
      <c r="A4" s="3" t="s">
        <v>23</v>
      </c>
      <c r="B4" s="4" t="s">
        <v>24</v>
      </c>
      <c r="C4" s="4" t="s">
        <v>25</v>
      </c>
      <c r="D4" s="4" t="s">
        <v>26</v>
      </c>
      <c r="E4" s="5" t="s">
        <v>27</v>
      </c>
    </row>
    <row r="5" ht="39.6" customHeight="1" spans="1:5">
      <c r="A5" s="6" t="s">
        <v>312</v>
      </c>
      <c r="B5" s="7" t="s">
        <v>29</v>
      </c>
      <c r="C5" s="6" t="s">
        <v>313</v>
      </c>
      <c r="D5" s="6" t="s">
        <v>314</v>
      </c>
      <c r="E5" s="6" t="s">
        <v>315</v>
      </c>
    </row>
    <row r="6" ht="39.6" customHeight="1" spans="1:5">
      <c r="A6" s="8" t="s">
        <v>316</v>
      </c>
      <c r="B6" s="9" t="s">
        <v>29</v>
      </c>
      <c r="C6" s="8" t="s">
        <v>317</v>
      </c>
      <c r="D6" s="8" t="s">
        <v>318</v>
      </c>
      <c r="E6" s="8" t="s">
        <v>319</v>
      </c>
    </row>
    <row r="7" ht="39.6" customHeight="1" spans="1:5">
      <c r="A7" s="10" t="s">
        <v>320</v>
      </c>
      <c r="B7" s="11" t="s">
        <v>29</v>
      </c>
      <c r="C7" s="10" t="s">
        <v>321</v>
      </c>
      <c r="D7" s="10" t="s">
        <v>322</v>
      </c>
      <c r="E7" s="10" t="s">
        <v>323</v>
      </c>
    </row>
    <row r="8" ht="52.8" customHeight="1" spans="1:5">
      <c r="A8" s="12" t="s">
        <v>324</v>
      </c>
      <c r="B8" s="13" t="s">
        <v>29</v>
      </c>
      <c r="C8" s="12" t="s">
        <v>325</v>
      </c>
      <c r="D8" s="12" t="s">
        <v>326</v>
      </c>
      <c r="E8" s="12" t="s">
        <v>327</v>
      </c>
    </row>
  </sheetData>
  <mergeCells count="2">
    <mergeCell ref="A1:E1"/>
    <mergeCell ref="A2:E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任务汇总</vt:lpstr>
      <vt:lpstr>单次直接倾倒</vt:lpstr>
      <vt:lpstr>移液枪转移</vt:lpstr>
      <vt:lpstr>移液管转移</vt:lpstr>
      <vt:lpstr>两次接力倾倒</vt:lpstr>
      <vt:lpstr>三次接力倾倒</vt:lpstr>
      <vt:lpstr>双源汇聚倾倒</vt:lpstr>
      <vt:lpstr>倾倒与工具接力</vt:lpstr>
      <vt:lpstr>储液池多目标分装</vt:lpstr>
      <vt:lpstr>多来源有序添加</vt:lpstr>
      <vt:lpstr>人工触发流程</vt:lpstr>
      <vt:lpstr>并行样本处理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秦茂凯</cp:lastModifiedBy>
  <dcterms:created xsi:type="dcterms:W3CDTF">2026-09-16T06:42:00Z</dcterms:created>
  <dcterms:modified xsi:type="dcterms:W3CDTF">2026-09-18T06:22:51Z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D29FE93FF198488C97875D0A7F0C1BA3_12</vt:lpwstr>
  </property>
  <property fmtid="{D5CDD505-2E9C-101B-9397-08002B2CF9AE}" pid="3" name="KSOProductBuildVer">
    <vt:lpwstr>2052-12.1.0.28505</vt:lpwstr>
  </property>
  <property fmtid="{D5CDD505-2E9C-101B-9397-08002B2CF9AE}" pid="4" name="CalculationRule">
    <vt:i4>0</vt:i4>
  </property>
</Properties>
</file>