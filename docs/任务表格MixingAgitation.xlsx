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665" activeTab="5"/>
  </bookViews>
  <sheets>
    <sheet name="任务汇总" sheetId="1" r:id="rId1"/>
    <sheet name="直接搅拌" sheetId="2" r:id="rId2"/>
    <sheet name="振荡混合" sheetId="3" r:id="rId3"/>
    <sheet name="倾倒混合" sheetId="4" r:id="rId4"/>
    <sheet name="有序加液后混合" sheetId="5" r:id="rId5"/>
    <sheet name="人工触发流程"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<sst xmlns="http://schemas.openxmlformats.org/spreadsheetml/2006/main" count="332" uniqueCount="247">
  <si>
    <t>VLABench 混合与振荡任务方案 / Mixing and Agitation Task Plan</t>
  </si>
  <si>
    <t>共56项候选任务，按5个可执行子类组织；材料名称仅作为绑定，不作为独立任务计数 / 56 candidate tasks organized into five executable subfamilies; materials are bindings only</t>
  </si>
  <si>
    <t>类型 / Type</t>
  </si>
  <si>
    <t>程序结构 / Structures</t>
  </si>
  <si>
    <t>材料重复 / Material-only duplicates</t>
  </si>
  <si>
    <t>人工触发 / Event-conditioned</t>
  </si>
  <si>
    <t>任务数 / Tasks</t>
  </si>
  <si>
    <t>直接搅拌 / Direct Stirring</t>
  </si>
  <si>
    <t>振荡混合 / Shaking and Agitation</t>
  </si>
  <si>
    <t>倾倒混合 / Repeated-Pouring Mixing</t>
  </si>
  <si>
    <t>有序加液后混合 / Ordered Addition Followed by Mixing</t>
  </si>
  <si>
    <t>人工触发流程 / Human-Triggered Mixing Procedures</t>
  </si>
  <si>
    <t>总计 / Total</t>
  </si>
  <si>
    <t>设计口径 / Counting rule: CuSO4、FeCl2、KMnO4仅作为材料绑定；去除材料名称后程序、对象角色和顺序相同的任务只保留一次。 / Materials are bindings only; tasks identical after material normalization are counted once.</t>
  </si>
  <si>
    <t>引擎边界 / Engine boundary: 不评价均匀度、浓度、液体体积或连续流体运动；任务按搅拌、振荡、倾倒、加液和触发流程的离散执行结果评价。 / No continuous fluid simulation or quantitative mixture sensing is assumed.</t>
  </si>
  <si>
    <t>技能范围 / Skill scope: 核心混合技能为 stir_entity_with_tool、shake 和 pour_to_entity；不使用 rotate、pour、move_offset、磁力搅拌器或培养皿旋转。 / Core mixing skills are stir_entity_with_tool, shake, and pour_to_entity.</t>
  </si>
  <si>
    <t>任务分类参考 / Source: SciHorizon-eLab: An Agentic Protocol-to-Task Compiler for Scalable Benchmarking of Scientific Embodied Agents, Appendix A Table S2 and Appendix B Table S3.</t>
  </si>
  <si>
    <t>8个去重任务结构；材料仅作为绑定，不作为独立任务计数 / 8 deduplicated task structures; material bindings are not counted as separate tasks</t>
  </si>
  <si>
    <t>Task name</t>
  </si>
  <si>
    <t>Primary family</t>
  </si>
  <si>
    <t>Instruction</t>
  </si>
  <si>
    <t>entities</t>
  </si>
  <si>
    <t>P: executable program</t>
  </si>
  <si>
    <t>stir_small_beaker_with_glass_rod</t>
  </si>
  <si>
    <t>Mixing and agitation</t>
  </si>
  <si>
    <t>Pick up the glass rod and stir the CuSO4 solution in the small beaker.</t>
  </si>
  <si>
    <t>glass_rod_0; small_beaker_0; CuSO4_solution_0</t>
  </si>
  <si>
    <t>pick(glass_rod_0) → stir_entity_with_tool(glass_rod_0, small_beaker_0) → place(glass_rod_0)</t>
  </si>
  <si>
    <t>stir_large_beaker_with_glass_rod</t>
  </si>
  <si>
    <t>Pick up the glass rod and stir the FeCl2 solution in the fixed large beaker,.</t>
  </si>
  <si>
    <t>glass_rod_0; large_beaker_0; FeCl2_solution_0</t>
  </si>
  <si>
    <t>pick(glass_rod_0) → stir_entity_with_tool(glass_rod_0, large_beaker_0) → place(glass_rod_0)</t>
  </si>
  <si>
    <t>stir_small_beaker_then_large_beaker</t>
  </si>
  <si>
    <t>Pick up the glass rod and stir the CuSO4 solution in the small beaker, then stir the FeCl2 solution in the large beaker in the specified order.</t>
  </si>
  <si>
    <t>glass_rod_0; small_beaker_0; large_beaker_0; CuSO4_solution_0; FeCl2_solution_1</t>
  </si>
  <si>
    <t>pick(glass_rod_0) → stir_entity_with_tool(glass_rod_0, small_beaker_0) → stir_entity_with_tool(glass_rod_0, large_beaker_0) → place(glass_rod_0)</t>
  </si>
  <si>
    <t>stir_large_beaker_then_small_beaker</t>
  </si>
  <si>
    <t xml:space="preserve">Pick up the glass rod and stir the KMnO4 solution in the large beaker, then stir the CuSO4 solution in the small beaker in the specified order. </t>
  </si>
  <si>
    <t>glass_rod_0; large_beaker_0; small_beaker_0; KMnO4_solution_0; CuSO4_solution_1</t>
  </si>
  <si>
    <t>pick(glass_rod_0) → stir_entity_with_tool(glass_rod_0, large_beaker_0) → stir_entity_with_tool(glass_rod_0, small_beaker_0) → place(glass_rod_0)</t>
  </si>
  <si>
    <t>stir_two_small_beakers_in_order</t>
  </si>
  <si>
    <t xml:space="preserve">Pick up the glass rod and stir the FeCl2 solution in one small beaker, then stir the KMnO4 solution in the other small beaker in the specified order. </t>
  </si>
  <si>
    <t>glass_rod_0; small_beaker_0; small_beaker_1; FeCl2_solution_0; KMnO4_solution_1</t>
  </si>
  <si>
    <t>pick(glass_rod_0) → stir_entity_with_tool(glass_rod_0, small_beaker_0) → stir_entity_with_tool(glass_rod_0, small_beaker_1) → place(glass_rod_0)</t>
  </si>
  <si>
    <t>stir_two_small_beakers_then_large_beaker</t>
  </si>
  <si>
    <t xml:space="preserve">Pick up the glass rod and stir the CuSO4 solution in the first small beaker, then the FeCl2 solution in the second small beaker, and finally the KMnO4 solution in the fixed large beaker. </t>
  </si>
  <si>
    <t>glass_rod_0; small_beaker_0; small_beaker_1; large_beaker_0; CuSO4_solution_0; FeCl2_solution_1; KMnO4_solution_2</t>
  </si>
  <si>
    <t>pick(glass_rod_0) → stir_entity_with_tool(glass_rod_0, small_beaker_0) → stir_entity_with_tool(glass_rod_0, small_beaker_1) → stir_entity_with_tool(glass_rod_0, large_beaker_0) → place(glass_rod_0)</t>
  </si>
  <si>
    <t>stir_large_beaker_then_two_small_beakers</t>
  </si>
  <si>
    <t xml:space="preserve">Pick up the glass rod and stir the FeCl2 solution in the fixed large beaker, then the KMnO4 solution in the first small beaker, and finally the CuSO4 solution in the second small beaker. </t>
  </si>
  <si>
    <t>glass_rod_0; large_beaker_0; small_beaker_0; small_beaker_1; FeCl2_solution_0; KMnO4_solution_1; CuSO4_solution_2</t>
  </si>
  <si>
    <t>pick(glass_rod_0) → stir_entity_with_tool(glass_rod_0, large_beaker_0) → stir_entity_with_tool(glass_rod_0, small_beaker_0) → stir_entity_with_tool(glass_rod_0, small_beaker_1) → place(glass_rod_0)</t>
  </si>
  <si>
    <t>stir_small_beaker_large_beaker_another_small_beaker</t>
  </si>
  <si>
    <t xml:space="preserve">Pick up the glass rod and stir the KMnO4 solution in the first small beaker, then the CuSO4 solution in the fixed large beaker, and finally the FeCl2 solution in the second small beaker. </t>
  </si>
  <si>
    <t>glass_rod_0; small_beaker_0; large_beaker_0; small_beaker_1; KMnO4_solution_0; CuSO4_solution_1; FeCl2_solution_2</t>
  </si>
  <si>
    <t>pick(glass_rod_0) → stir_entity_with_tool(glass_rod_0, small_beaker_0) → stir_entity_with_tool(glass_rod_0, large_beaker_0) → stir_entity_with_tool(glass_rod_0, small_beaker_1) → place(glass_rod_0)</t>
  </si>
  <si>
    <t>12个去重任务结构；材料仅作为绑定，不作为独立任务计数 / 12 deduplicated task structures; material bindings are not counted as separate tasks</t>
  </si>
  <si>
    <t>shake_flask</t>
  </si>
  <si>
    <t>Pick up the flask containing CuSO4 solution, shake the flask.</t>
  </si>
  <si>
    <t>flask_0; CuSO4_solution_0</t>
  </si>
  <si>
    <t>pick(flask_0) → shake(flask_0) → place(flask_0)</t>
  </si>
  <si>
    <t>shake_two_flasks_in_order</t>
  </si>
  <si>
    <t>Shake the flask containing FeCl2 solution, then shake the flask containing KMnO4 solution.</t>
  </si>
  <si>
    <t>flask_0; flask_1; FeCl2_solution_0; KMnO4_solution_1</t>
  </si>
  <si>
    <t>pick(flask_0) → shake(flask_0) → place(flask_0) → pick(flask_1) → shake(flask_1) → place(flask_1)</t>
  </si>
  <si>
    <t>shake_three_flasks_in_order</t>
  </si>
  <si>
    <t xml:space="preserve">Shake the three flasks in the specified order: the flask containing CuSO4 solution, then the flask containing FeCl2 solution, and finally the flask containing KMnO4 solution. </t>
  </si>
  <si>
    <t>flask_0; flask_1; flask_2; CuSO4_solution_0; FeCl2_solution_1; KMnO4_solution_2</t>
  </si>
  <si>
    <t>pick(flask_0) → shake(flask_0) → place(flask_0) → pick(flask_1) → shake(flask_1) → place(flask_1) → pick(flask_2) → shake(flask_2) → place(flask_2)</t>
  </si>
  <si>
    <t>retrieve_shake_and_return_tube</t>
  </si>
  <si>
    <t>Pick up the tube containing CuSO4 solution from the tube rack, shake it, then insert it back into the tube rack.</t>
  </si>
  <si>
    <t>chemistry_tube_0; tube_rack_0; CuSO4_solution_0</t>
  </si>
  <si>
    <t>pick(chemistry_tube_0) → shake(chemistry_tube_0) → insert_to_entity(chemistry_tube_0, tube_rack_0)</t>
  </si>
  <si>
    <t>retrieve_shake_two_tubes_in_order</t>
  </si>
  <si>
    <t>Retrieve and shake two tubes in the specified order. Shake the tube containing FeCl2 solution, then shake the tube containing KMnO4 solution.</t>
  </si>
  <si>
    <t>chemistry_tube_0; chemistry_tube_1; tube_rack_0; FeCl2_solution_0; KMnO4_solution_1</t>
  </si>
  <si>
    <t>pick(chemistry_tube_0) → shake(chemistry_tube_0) → insert_to_entity(chemistry_tube_0, tube_rack_0) → pick(chemistry_tube_1) → shake(chemistry_tube_1) → insert_to_entity(chemistry_tube_1, tube_rack_0)</t>
  </si>
  <si>
    <t>retrieve_shake_three_tubes_in_order</t>
  </si>
  <si>
    <t>Retrieve and shake three tubes in the specified order: the tube containing KMnO4 solution, then the tube containing CuSO4 solution, and finally the tube containing FeCl2 solution.</t>
  </si>
  <si>
    <t>chemistry_tube_0; chemistry_tube_1; chemistry_tube_2; tube_rack_0; KMnO4_solution_0; CuSO4_solution_1; FeCl2_solution_2</t>
  </si>
  <si>
    <t>pick(chemistry_tube_0) → shake(chemistry_tube_0) → insert_to_entity(chemistry_tube_0, tube_rack_0) → pick(chemistry_tube_1) → shake(chemistry_tube_1) → insert_to_entity(chemistry_tube_1, tube_rack_0) → pick(chemistry_tube_2) → shake(chemistry_tube_2) → insert_to_entity(chemistry_tube_2, tube_rack_0)</t>
  </si>
  <si>
    <t>shake_flask_then_tube</t>
  </si>
  <si>
    <t>Shake the flask containing CuSO4 solution, then retrieve the tube containing FeCl2 solution, shake it, and insert it back into the tube stand.</t>
  </si>
  <si>
    <t>flask_0; chemistry_tube_0; tube_rack_0; CuSO4_solution_0; FeCl2_solution_1</t>
  </si>
  <si>
    <t>pick(flask_0) → shake(flask_0) → place(flask_0) → pick(chemistry_tube_0) → shake(chemistry_tube_0) → insert_to_entity(chemistry_tube_0, tube_rack_0)</t>
  </si>
  <si>
    <t>shake_tube_then_flask</t>
  </si>
  <si>
    <t>Retrieve the tube containing KMnO4 solution from the rack, shake it. Then shake the flask containing CuSO4 solution.</t>
  </si>
  <si>
    <t>chemistry_tube_0; tube_rack_0; flask_0; KMnO4_solution_0; CuSO4_solution_1</t>
  </si>
  <si>
    <t>pick(chemistry_tube_0) → shake(chemistry_tube_0) → insert_to_entity(chemistry_tube_0, tube_rack_0) → pick(flask_0) → shake(flask_0) → place(flask_0)</t>
  </si>
  <si>
    <t>shake_two_flasks_then_tube</t>
  </si>
  <si>
    <t>Shake two flasks and one tube in the specified order. Shake and place the flask containing FeCl2 solution, shake and place the flask containing KMnO4 solution, then shake the tube containing CuSO4 solution.</t>
  </si>
  <si>
    <t>flask_0; flask_1; chemistry_tube_0; tube_rack_0; FeCl2_solution_0; KMnO4_solution_1; CuSO4_solution_2</t>
  </si>
  <si>
    <t>pick(flask_0) → shake(flask_0) → place(flask_0) → pick(flask_1) → shake(flask_1) → place(flask_1) → pick(chemistry_tube_0) → shake(chemistry_tube_0) → insert_to_entity(chemistry_tube_0, tube_rack_0)</t>
  </si>
  <si>
    <t>shake_tube_then_two_flasks</t>
  </si>
  <si>
    <t>Shake the tube containing CuSO4 solution, then shake the flask containing FeCl2 solution, then shake the flask containing KMnO4 solution.</t>
  </si>
  <si>
    <t>chemistry_tube_0; tube_rack_0; flask_0; flask_1; CuSO4_solution_0; FeCl2_solution_1; KMnO4_solution_2</t>
  </si>
  <si>
    <t>pick(chemistry_tube_0) → shake(chemistry_tube_0) → insert_to_entity(chemistry_tube_0, tube_rack_0) → pick(flask_0) → shake(flask_0) → place(flask_0) → pick(flask_1) → shake(flask_1) → place(flask_1)</t>
  </si>
  <si>
    <t>shake_two_tubes_then_flask</t>
  </si>
  <si>
    <t>Shake the tube containing FeCl2 solution, then shake the tube containing KMnO4 solution, then shake the flask containing CuSO4 solution.</t>
  </si>
  <si>
    <t>chemistry_tube_0; chemistry_tube_1; tube_rack_0; flask_0; FeCl2_solution_0; KMnO4_solution_1; CuSO4_solution_2</t>
  </si>
  <si>
    <t>pick(chemistry_tube_0) → shake(chemistry_tube_0) → insert_to_entity(chemistry_tube_0, tube_rack_0) → pick(chemistry_tube_1) → shake(chemistry_tube_1) → insert_to_entity(chemistry_tube_1, tube_rack_0) → pick(flask_0) → shake(flask_0) → place(flask_0)</t>
  </si>
  <si>
    <t>shake_flask_then_two_tubes</t>
  </si>
  <si>
    <t>Shake the flask containing KMnO4 solution, then shake the tube containing CuSO4 solution, then shake the tube containing FeCl2 solution.</t>
  </si>
  <si>
    <t>flask_0; chemistry_tube_0; chemistry_tube_1; tube_rack_0; KMnO4_solution_0; CuSO4_solution_1; FeCl2_solution_2</t>
  </si>
  <si>
    <t>pick(flask_0) → shake(flask_0) → place(flask_0) → pick(chemistry_tube_0) → shake(chemistry_tube_0) → insert_to_entity(chemistry_tube_0, tube_rack_0) → pick(chemistry_tube_1) → shake(chemistry_tube_1) → insert_to_entity(chemistry_tube_1, tube_rack_0)</t>
  </si>
  <si>
    <t>pour_mix_small_beaker_and_flask_roundtrip</t>
  </si>
  <si>
    <t>Pick up the small beaker containing CuSO4 solution and pour the solution into the flask. Then pick up the flask and pour the contents back into the same small beaker.</t>
  </si>
  <si>
    <t>small_beaker_0; flask_0; CuSO4_solution_0</t>
  </si>
  <si>
    <t>pick(small_beaker_0) → pour_to_entity(small_beaker_0, flask_0) → place(small_beaker_0) → pick(flask_0) → pour_to_entity(flask_0, small_beaker_0) → place(flask_0)</t>
  </si>
  <si>
    <t>pour_mix_flask_and_small_beaker_roundtrip</t>
  </si>
  <si>
    <t>Pick up the flask containing FeCl2 solution and pour the solution into the small beaker.Then pick up the small beaker and pour the contents back into the same flask to complete the mixing sequence.</t>
  </si>
  <si>
    <t>flask_0; small_beaker_0; FeCl2_solution_0</t>
  </si>
  <si>
    <t>pick(flask_0) → pour_to_entity(flask_0, small_beaker_0) → place(flask_0) → pick(small_beaker_0) → pour_to_entity(small_beaker_0, flask_0) → place(small_beaker_0)</t>
  </si>
  <si>
    <t>pour_mix_small_beaker_and_medium_cylinder_roundtrip</t>
  </si>
  <si>
    <t>Pour the KMnO4 solution from the small beaker into the medium cylinder, then pour the contents from the medium cylinder back into the same small beaker.</t>
  </si>
  <si>
    <t>small_beaker_0; medium_cylinder_0; KMnO4_solution_0</t>
  </si>
  <si>
    <t>pick(small_beaker_0) → pour_to_entity(small_beaker_0, graduated_cylinder_0) → place(small_beaker_0) → pick(graduated_cylinder_0) → pour_to_entity(graduated_cylinder_0, small_beaker_0) → place(graduated_cylinder_0)</t>
  </si>
  <si>
    <t>pour_mix_medium_cylinder_and_small_beaker_roundtrip</t>
  </si>
  <si>
    <t>Pour the CuSO4 solution from the medium cylinder into the small beaker, then pour the contents from the small beaker back into the same medium cylinder.</t>
  </si>
  <si>
    <t>medium_cylinder_0; small_beaker_0; CuSO4_solution_0</t>
  </si>
  <si>
    <t>pick(graduated_cylinder_0) → pour_to_entity(graduated_cylinder_0, small_beaker_0) → place(graduated_cylinder_0) → pick(small_beaker_0) → pour_to_entity(small_beaker_0, graduated_cylinder_0) → place(small_beaker_0)</t>
  </si>
  <si>
    <t>pour_mix_tube_and_small_beaker_roundtrip</t>
  </si>
  <si>
    <t>Pour the FeCl2 solution from the tube into the small beaker, then pour the contents from the small beaker back into the same tube.</t>
  </si>
  <si>
    <t>chemistry_tube_0; small_beaker_0; FeCl2_solution_0</t>
  </si>
  <si>
    <t>pick(chemistry_tube_0) → pour_to_entity(chemistry_tube_0, small_beaker_0) → place(chemistry_tube_0) → pick(small_beaker_0) → pour_to_entity(small_beaker_0, chemistry_tube_0) → place(small_beaker_0)</t>
  </si>
  <si>
    <t>pour_mix_small_beaker_and_tube_roundtrip</t>
  </si>
  <si>
    <t>Pour the KMnO4 solution from the small beaker into the tube, then pour the contents from the tube back into the same small beaker.</t>
  </si>
  <si>
    <t>small_beaker_0; chemistry_tube_0; KMnO4_solution_0</t>
  </si>
  <si>
    <t>pick(small_beaker_0) → pour_to_entity(small_beaker_0, chemistry_tube_0) → place(small_beaker_0) → pick(chemistry_tube_0) → pour_to_entity(chemistry_tube_0, small_beaker_0) → place(chemistry_tube_0)</t>
  </si>
  <si>
    <t>pour_mix_small_beaker_and_flask_three_pours</t>
  </si>
  <si>
    <t>Pour the CuSO4 solution from the small beaker into the flask, pour the contents back into the small beaker, then pour them into the flask again.</t>
  </si>
  <si>
    <t>pick(small_beaker_0) → pour_to_entity(small_beaker_0, flask_0) → place(small_beaker_0) → pick(flask_0) → pour_to_entity(flask_0, small_beaker_0) → place(flask_0) → pick(small_beaker_0) → pour_to_entity(small_beaker_0, flask_0) → place(small_beaker_0)</t>
  </si>
  <si>
    <t>pour_mix_flask_and_small_beaker_three_pours</t>
  </si>
  <si>
    <t>Pour the FeCl2 solution from the flask into the small beaker, pour the contents back into the flask, then pour them into the small beaker again.</t>
  </si>
  <si>
    <t>pick(flask_0) → pour_to_entity(flask_0, small_beaker_0) → place(flask_0) → pick(small_beaker_0) → pour_to_entity(small_beaker_0, flask_0) → place(small_beaker_0) → pick(flask_0) → pour_to_entity(flask_0, small_beaker_0) → place(flask_0)</t>
  </si>
  <si>
    <t>pour_mix_cycle_small_beaker_flask_medium_cylinder</t>
  </si>
  <si>
    <t>Complete the mixing cycle in this order: pour the KMnO4 solution from the small beaker into the flask, pour the contents from the flask into the medium cylinder, then pour them from the medium cylinder back into the original small beaker.</t>
  </si>
  <si>
    <t>small_beaker_0; flask_0; medium_cylinder_0; KMnO4_solution_0</t>
  </si>
  <si>
    <t>pick(small_beaker_0) → pour_to_entity(small_beaker_0, flask_0) → place(small_beaker_0) → pick(flask_0) → pour_to_entity(flask_0, graduated_cylinder_0) → place(flask_0) → pick(graduated_cylinder_0) → pour_to_entity(graduated_cylinder_0, small_beaker_0) → place(graduated_cylinder_0)</t>
  </si>
  <si>
    <t>pour_mix_cycle_flask_small_beaker_tube</t>
  </si>
  <si>
    <t>Complete the mixing cycle in this order: pour the CuSO4 solution from the flask into the small beaker, pour the contents from the small beaker into the tube, then pour them from the tube back into the original flask.</t>
  </si>
  <si>
    <t>flask_0; small_beaker_0; chemistry_tube_0; CuSO4_solution_0</t>
  </si>
  <si>
    <t>pick(flask_0) → pour_to_entity(flask_0, small_beaker_0) → place(flask_0) → pick(small_beaker_0) → pour_to_entity(small_beaker_0, chemistry_tube_0) → place(small_beaker_0) → pick(chemistry_tube_0) → pour_to_entity(chemistry_tube_0, flask_0) → place(chemistry_tube_0)</t>
  </si>
  <si>
    <t>pour_mix_cycle_medium_cylinder_flask_small_beaker</t>
  </si>
  <si>
    <t>Complete the mixing cycle in this order: pour the FeCl2 solution from the medium cylinder into the flask, pour the contents from the flask into the small beaker, then pour them from the small beaker back into the original medium cylinder.</t>
  </si>
  <si>
    <t>medium_cylinder_0; flask_0; small_beaker_0; FeCl2_solution_0</t>
  </si>
  <si>
    <t>pick(graduated_cylinder_0) → pour_to_entity(graduated_cylinder_0, flask_0) → place(graduated_cylinder_0) → pick(flask_0) → pour_to_entity(flask_0, small_beaker_0) → place(flask_0) → pick(small_beaker_0) → pour_to_entity(small_beaker_0, graduated_cylinder_0) → place(small_beaker_0)</t>
  </si>
  <si>
    <t>pour_mix_cycle_tube_small_beaker_flask</t>
  </si>
  <si>
    <t>Complete the mixing cycle in this order: pour the KMnO4 solution from the tube into the small beaker, pour the contents from the small beaker into the flask, then pour them from the flask back into the original tube.</t>
  </si>
  <si>
    <t>chemistry_tube_0; small_beaker_0; flask_0; KMnO4_solution_0</t>
  </si>
  <si>
    <t>pick(chemistry_tube_0) → pour_to_entity(chemistry_tube_0, small_beaker_0) → place(chemistry_tube_0) → pick(small_beaker_0) → pour_to_entity(small_beaker_0, flask_0) → place(small_beaker_0) → pick(flask_0) → pour_to_entity(flask_0, chemistry_tube_0) → place(flask_0)</t>
  </si>
  <si>
    <t>16个去重任务结构；材料仅作为绑定，不作为独立任务计数 / 16 deduplicated task structures; material bindings are not counted as separate tasks</t>
  </si>
  <si>
    <t>pour_flask_to_small_beaker_then_stir</t>
  </si>
  <si>
    <t>Pour the CuSO4 solution from the flask into the small beaker, then use the glass rod to stir the contents of the small beaker.</t>
  </si>
  <si>
    <t>flask_0; small_beaker_0; glass_rod_0; CuSO4_solution_0</t>
  </si>
  <si>
    <t>pick(flask_0) → pour_to_entity(flask_0, small_beaker_0) → place(flask_0) → pick(glass_rod_0) → stir_entity_with_tool(glass_rod_0, small_beaker_0) → place(glass_rod_0)</t>
  </si>
  <si>
    <t>pour_tube_to_large_beaker_then_stir</t>
  </si>
  <si>
    <t>Pour the FeCl2 solution from the tube into the large beaker,then use the glass rod to stir the contents of the large beaker.</t>
  </si>
  <si>
    <t>chemistry_tube_0; large_beaker_0; glass_rod_0; FeCl2_solution_0</t>
  </si>
  <si>
    <t>pick(chemistry_tube_0) → pour_to_entity(chemistry_tube_0, large_beaker_0) → place(chemistry_tube_0) → pick(glass_rod_0) → stir_entity_with_tool(glass_rod_0, large_beaker_0) → place(glass_rod_0)</t>
  </si>
  <si>
    <t>pipette_small_beaker_to_another_small_beaker_then_stir</t>
  </si>
  <si>
    <t>Use the pipette to aspirate KMnO4 solution from one small beaker and dispense it into another small beaker. Then use the glass rod to stir the receiving small beaker.</t>
  </si>
  <si>
    <t>pipette_0; small_beaker_0; small_beaker_1; glass_rod_0; KMnO4_solution_0</t>
  </si>
  <si>
    <t>pick(pipette_0) → moveto_entity(pipette_0, small_beaker_0) → aspirate(pipette_0, small_beaker_0) → moveto_entity(pipette_0, small_beaker_1) → dispense(pipette_0, small_beaker_1) → place(pipette_0) → pick(glass_rod_0) → stir_entity_with_tool(glass_rod_0, small_beaker_1) → place(glass_rod_0)</t>
  </si>
  <si>
    <t>mechanical_pipette_large_beaker_to_small_beaker_then_stir</t>
  </si>
  <si>
    <t>Use the mechanical pipette to aspirate CuSO4 solution from the large beaker and dispense it into the small beaker.Then use the glass rod to stir the small beaker.</t>
  </si>
  <si>
    <t>mechanical_pipette_0; large_beaker_0; small_beaker_0; glass_rod_0; CuSO4_solution_0</t>
  </si>
  <si>
    <t>pick(mechanical_pipette_0) → moveto_entity(mechanical_pipette_0, large_beaker_0) → aspirate(mechanical_pipette_0, large_beaker_0) → moveto_entity(mechanical_pipette_0, small_beaker_0) → dispense(mechanical_pipette_0, small_beaker_0) → place(mechanical_pipette_0) → pick(glass_rod_0) → stir_entity_with_tool(glass_rod_0, small_beaker_0) → place(glass_rod_0)</t>
  </si>
  <si>
    <t>pour_flask_and_pipette_large_beaker_to_small_beaker_then_stir</t>
  </si>
  <si>
    <t>Add sources to the small beaker in this exact order: pour the FeCl2 solution from the flask, then use the pipette to add KMnO4 solution from the large beaker. After both additions, stir the small beaker with the glass rod.</t>
  </si>
  <si>
    <t>flask_0; small_beaker_0; pipette_0; large_beaker_0; glass_rod_0; FeCl2_solution_0; KMnO4_solution_1</t>
  </si>
  <si>
    <t>pick(flask_0) → pour_to_entity(flask_0, small_beaker_0) → place(flask_0) → pick(pipette_0) → moveto_entity(pipette_0, large_beaker_0) → aspirate(pipette_0, large_beaker_0) → moveto_entity(pipette_0, small_beaker_0) → dispense(pipette_0, small_beaker_0) → place(pipette_0) → pick(glass_rod_0) → stir_entity_with_tool(glass_rod_0, small_beaker_0) → place(glass_rod_0)</t>
  </si>
  <si>
    <t>pipette_small_beaker_and_pour_tube_to_large_beaker_then_stir</t>
  </si>
  <si>
    <t>Add sources to the fixed large beaker in this exact order: use the pipette to add CuSO4 solution from the small beaker, then pour FeCl2 solution from the tube. After both additions, stir the large beaker with the glass rod.</t>
  </si>
  <si>
    <t>pipette_0; small_beaker_0; large_beaker_0; chemistry_tube_0; glass_rod_0; CuSO4_solution_0; FeCl2_solution_1</t>
  </si>
  <si>
    <t>pick(pipette_0) → moveto_entity(pipette_0, small_beaker_0) → aspirate(pipette_0, small_beaker_0) → moveto_entity(pipette_0, large_beaker_0) → dispense(pipette_0, large_beaker_0) → place(pipette_0) → pick(chemistry_tube_0) → pour_to_entity(chemistry_tube_0, large_beaker_0) → place(chemistry_tube_0) → pick(glass_rod_0) → stir_entity_with_tool(glass_rod_0, large_beaker_0) → place(glass_rod_0)</t>
  </si>
  <si>
    <t>mechanical_pipette_small_beaker_and_pour_flask_to_another_small_beaker_then_stir</t>
  </si>
  <si>
    <t>Add sources to the receiving small beaker in this exact order: use the mechanical pipette to add KMnO4 solution from another small beaker, then pour CuSO4 solution from the flask. After both additions, stir the receiving small beaker with the glass rod.</t>
  </si>
  <si>
    <t>mechanical_pipette_0; small_beaker_0; small_beaker_1; flask_0; glass_rod_0; KMnO4_solution_0; CuSO4_solution_1</t>
  </si>
  <si>
    <t>pick(mechanical_pipette_0) → moveto_entity(mechanical_pipette_0, small_beaker_0) → aspirate(mechanical_pipette_0, small_beaker_0) → moveto_entity(mechanical_pipette_0, small_beaker_1) → dispense(mechanical_pipette_0, small_beaker_1) → place(mechanical_pipette_0) → pick(flask_0) → pour_to_entity(flask_0, small_beaker_1) → place(flask_0) → pick(glass_rod_0) → stir_entity_with_tool(glass_rod_0, small_beaker_1) → place(glass_rod_0)</t>
  </si>
  <si>
    <t>three_source_addition_to_large_beaker_then_stir</t>
  </si>
  <si>
    <t>Add sources to the large beaker in this exact order: pour CuSO4 solution from the flask, use the pipette to add FeCl2 solution from one small beaker, then use the mechanical pipette to add KMnO4 solution from another small beaker. Stir the large beaker with the glass rod after all additions.</t>
  </si>
  <si>
    <t>flask_0; large_beaker_0; pipette_0; small_beaker_0; mechanical_pipette_0; small_beaker_1; glass_rod_0; CuSO4_solution_0; FeCl2_solution_1; KMnO4_solution_2</t>
  </si>
  <si>
    <t>pick(flask_0) → pour_to_entity(flask_0, large_beaker_0) → place(flask_0) → pick(pipette_0) → moveto_entity(pipette_0, small_beaker_0) → aspirate(pipette_0, small_beaker_0) → moveto_entity(pipette_0, large_beaker_0) → dispense(pipette_0, large_beaker_0) → place(pipette_0) → pick(mechanical_pipette_0) → moveto_entity(mechanical_pipette_0, small_beaker_1) → aspirate(mechanical_pipette_0, small_beaker_1) → moveto_entity(mechanical_pipette_0, large_beaker_0) → dispense(mechanical_pipette_0, large_beaker_0) → place(mechanical_pipette_0) → pick(glass_rod_0) → stir_entity_with_tool(glass_rod_0, large_beaker_0) → place(glass_rod_0)</t>
  </si>
  <si>
    <t>pour_small_beaker_to_flask_then_shake</t>
  </si>
  <si>
    <t>Pour the CuSO4 solution from the small beaker into the flask, then shake the receiving flask.</t>
  </si>
  <si>
    <t>pick(small_beaker_0) → pour_to_entity(small_beaker_0, flask_0) → place(small_beaker_0) → pick(flask_0) → shake(flask_0) → place(flask_0)</t>
  </si>
  <si>
    <t>pour_small_beaker_to_tube_then_shake</t>
  </si>
  <si>
    <t>Pour the FeCl2 solution from the small beaker into the tube, then shake the receiving tube and insert it into the tube stand.</t>
  </si>
  <si>
    <t>small_beaker_0; chemistry_tube_0; tube_rack_0; FeCl2_solution_0</t>
  </si>
  <si>
    <t>pick(small_beaker_0) → pour_to_entity(small_beaker_0, chemistry_tube_0) → place(small_beaker_0) → pick(chemistry_tube_0) → shake(chemistry_tube_0) → insert_to_entity(chemistry_tube_0, tube_rack_0)</t>
  </si>
  <si>
    <t>pipette_small_beaker_to_flask_then_shake</t>
  </si>
  <si>
    <t>Use the pipette to aspirate KMnO4 solution from the small beaker and dispense it into the flask.Then shake the receiving flask.</t>
  </si>
  <si>
    <t>pipette_0; small_beaker_0; flask_0; KMnO4_solution_0</t>
  </si>
  <si>
    <t>pick(pipette_0) → moveto_entity(pipette_0, small_beaker_0) → aspirate(pipette_0, small_beaker_0) → moveto_entity(pipette_0, flask_0) → dispense(pipette_0, flask_0) → place(pipette_0) → pick(flask_0) → shake(flask_0) → place(flask_0)</t>
  </si>
  <si>
    <t>mechanical_pipette_large_beaker_to_tube_then_shake</t>
  </si>
  <si>
    <t>Use the mechanical pipette to aspirate CuSO4 solution from the large beaker and dispense it into the tube.Then shake the receiving tube and insert it into the tube stand.</t>
  </si>
  <si>
    <t>mechanical_pipette_0; large_beaker_0; chemistry_tube_0; tube_rack_0; CuSO4_solution_0</t>
  </si>
  <si>
    <t>pick(mechanical_pipette_0) → moveto_entity(mechanical_pipette_0, large_beaker_0) → aspirate(mechanical_pipette_0, large_beaker_0) → moveto_entity(mechanical_pipette_0, chemistry_tube_0) → dispense(mechanical_pipette_0, chemistry_tube_0) → place(mechanical_pipette_0) → pick(chemistry_tube_0) → shake(chemistry_tube_0) → insert_to_entity(chemistry_tube_0, tube_rack_0)</t>
  </si>
  <si>
    <t>pour_small_beaker_and_pipette_large_beaker_to_flask_then_shake</t>
  </si>
  <si>
    <t>Add sources to the flask in this exact order: pour FeCl2 solution from the small beaker, then use the pipette to add KMnO4 solution from the large beaker. Shake the flask after both additions.</t>
  </si>
  <si>
    <t>small_beaker_0; flask_0; pipette_0; large_beaker_0; FeCl2_solution_0; KMnO4_solution_1</t>
  </si>
  <si>
    <t>pick(small_beaker_0) → pour_to_entity(small_beaker_0, flask_0) → place(small_beaker_0) → pick(pipette_0) → moveto_entity(pipette_0, large_beaker_0) → aspirate(pipette_0, large_beaker_0) → moveto_entity(pipette_0, flask_0) → dispense(pipette_0, flask_0) → place(pipette_0) → pick(flask_0) → shake(flask_0) → place(flask_0)</t>
  </si>
  <si>
    <t>pipette_small_beaker_and_pour_flask_to_another_flask_then_shake</t>
  </si>
  <si>
    <t>Add sources to the receiving flask in this exact order: use the pipette to add CuSO4 solution from the small beaker, then pour FeCl2 solution from another flask. Shake the receiving flask after both additions.</t>
  </si>
  <si>
    <t>pipette_0; small_beaker_0; flask_0; flask_1; CuSO4_solution_0; FeCl2_solution_1</t>
  </si>
  <si>
    <t>pick(pipette_0) → moveto_entity(pipette_0, small_beaker_0) → aspirate(pipette_0, small_beaker_0) → moveto_entity(pipette_0, flask_1) → dispense(pipette_0, flask_1) → place(pipette_0) → pick(flask_0) → pour_to_entity(flask_0, flask_1) → place(flask_0) → pick(flask_1) → shake(flask_1) → place(flask_1)</t>
  </si>
  <si>
    <t>mechanical_pipette_small_beaker_and_pour_flask_to_tube_then_shake</t>
  </si>
  <si>
    <t>Add sources to the tube in this exact order: use the mechanical pipette to add KMnO4 solution from the small beaker, then pour CuSO4 solution from the flask. Shake the receiving tube after both additions and insert it into the tube stand.</t>
  </si>
  <si>
    <t>mechanical_pipette_0; small_beaker_0; chemistry_tube_0; flask_0; tube_rack_0; KMnO4_solution_0; CuSO4_solution_1</t>
  </si>
  <si>
    <t>pick(mechanical_pipette_0) → moveto_entity(mechanical_pipette_0, small_beaker_0) → aspirate(mechanical_pipette_0, small_beaker_0) → moveto_entity(mechanical_pipette_0, chemistry_tube_0) → dispense(mechanical_pipette_0, chemistry_tube_0) → place(mechanical_pipette_0) → pick(flask_0) → pour_to_entity(flask_0, chemistry_tube_0) → place(flask_0) → pick(chemistry_tube_0) → shake(chemistry_tube_0) → insert_to_entity(chemistry_tube_0, tube_rack_0)</t>
  </si>
  <si>
    <t>three_source_addition_to_flask_then_shake</t>
  </si>
  <si>
    <t>Add sources to the flask in this exact order: use the pipette to add FeCl2 solution from one small beaker, use the mechanical pipette to add KMnO4 solution from the large beaker, then pour CuSO4 solution from another small beaker. Shake the flask after all additions.</t>
  </si>
  <si>
    <t>pipette_0; small_beaker_0; flask_0; mechanical_pipette_0; large_beaker_0; small_beaker_1; FeCl2_solution_0; KMnO4_solution_1; CuSO4_solution_2</t>
  </si>
  <si>
    <t>pick(pipette_0) → moveto_entity(pipette_0, small_beaker_0) → aspirate(pipette_0, small_beaker_0) → moveto_entity(pipette_0, flask_0) → dispense(pipette_0, flask_0) → place(pipette_0) → pick(mechanical_pipette_0) → moveto_entity(mechanical_pipette_0, large_beaker_0) → aspirate(mechanical_pipette_0, large_beaker_0) → moveto_entity(mechanical_pipette_0, flask_0) → dispense(mechanical_pipette_0, flask_0) → place(mechanical_pipette_0) → pick(small_beaker_1) → pour_to_entity(small_beaker_1, flask_0) → place(small_beaker_1) → pick(flask_0) → shake(flask_0) → place(flask_0)</t>
  </si>
  <si>
    <t>wait_then_stir_small_beaker</t>
  </si>
  <si>
    <t>Wait until a human adds CuSO4 solution to the small beaker. After the addition is complete, use the glass rod to stir the contents of the small beaker.</t>
  </si>
  <si>
    <t>small_beaker_0; glass_rod_0; CuSO4_solution_0; human_liquid_addition_0</t>
  </si>
  <si>
    <t>wait_for(liquid_added_to_small_beaker_0) → pick(glass_rod_0) → stir_entity_with_tool(glass_rod_0, small_beaker_0) → place(glass_rod_0)</t>
  </si>
  <si>
    <t>wait_then_stir_large_beaker</t>
  </si>
  <si>
    <t>Wait until a human adds FeCl2 solution to the large beaker. After the addition is complete, use the glass rod to stir the contents of the large beaker.</t>
  </si>
  <si>
    <t>large_beaker_0; glass_rod_0; FeCl2_solution_0; human_liquid_addition_0</t>
  </si>
  <si>
    <t>wait_for(liquid_added_to_large_beaker_0) → pick(glass_rod_0) → stir_entity_with_tool(glass_rod_0, large_beaker_0) → place(glass_rod_0)</t>
  </si>
  <si>
    <t>wait_then_pipette_small_beaker_to_flask_and_shake</t>
  </si>
  <si>
    <t>Wait until a human adds KMnO4 solution to the small beaker. Use the pipette to transfer the solution from the small beaker to the flask.</t>
  </si>
  <si>
    <t>small_beaker_0; pipette_0; flask_0; KMnO4_solution_0; human_liquid_addition_0</t>
  </si>
  <si>
    <t>wait_for(liquid_added_to_small_beaker_0) → pick(pipette_0) → moveto_entity(pipette_0, small_beaker_0) → aspirate(pipette_0, small_beaker_0) → moveto_entity(pipette_0, flask_0) → dispense(pipette_0, flask_0) → place(pipette_0) → pick(flask_0) → shake(flask_0) → place(flask_0)</t>
  </si>
  <si>
    <t>wait_then_mechanical_pipette_large_beaker_to_tube_and_shake</t>
  </si>
  <si>
    <t>Wait until a human adds CuSO4 solution to the fixed large beaker. Use the mechanical pipette to transfer the solution from the large beaker to the tube, then shake the tube and insert it into the tube stand.</t>
  </si>
  <si>
    <t>large_beaker_0; mechanical_pipette_0; chemistry_tube_0; tube_rack_0; CuSO4_solution_0; human_liquid_addition_0</t>
  </si>
  <si>
    <t>wait_for(liquid_added_to_large_beaker_0) → pick(mechanical_pipette_0) → moveto_entity(mechanical_pipette_0, large_beaker_0) → aspirate(mechanical_pipette_0, large_beaker_0) → moveto_entity(mechanical_pipette_0, chemistry_tube_0) → dispense(mechanical_pipette_0, chemistry_tube_0) → place(mechanical_pipette_0) → pick(chemistry_tube_0) → shake(chemistry_tube_0) → insert_to_entity(chemistry_tube_0, tube_rack_0)</t>
  </si>
  <si>
    <t>pour_flask_to_small_beaker_wait_then_stir</t>
  </si>
  <si>
    <t>Pour CuSO4 solution from the flask into the small beaker. Wait until a human adds FeCl2 solution to the same small beaker, then stir the contents with the glass rod.</t>
  </si>
  <si>
    <t>flask_0; small_beaker_0; glass_rod_0; CuSO4_solution_0; FeCl2_solution_1; human_liquid_addition_0</t>
  </si>
  <si>
    <t>pick(flask_0) → pour_to_entity(flask_0, small_beaker_0) → place(flask_0) → wait_for(liquid_added_to_small_beaker_0) → pick(glass_rod_0) → stir_entity_with_tool(glass_rod_0, small_beaker_0) → place(glass_rod_0)</t>
  </si>
  <si>
    <t>pour_small_beaker_to_flask_wait_then_pipette_large_beaker_and_shake</t>
  </si>
  <si>
    <t>Pour CuSO4 solution from the small beaker into the flaskr. Wait until a human adds FeCl2 solution to the large beaker, transfer that solution to the same flask with the pipette, then shake the flask.</t>
  </si>
  <si>
    <t>small_beaker_0; flask_0; large_beaker_0; pipette_0; CuSO4_solution_0; FeCl2_solution_1; human_liquid_addition_0</t>
  </si>
  <si>
    <t>pick(small_beaker_0) → pour_to_entity(small_beaker_0, flask_0) → place(small_beaker_0) → wait_for(liquid_added_to_large_beaker_0) → pick(pipette_0) → moveto_entity(pipette_0, large_beaker_0) → aspirate(pipette_0, large_beaker_0) → moveto_entity(pipette_0, flask_0) → dispense(pipette_0, flask_0) → place(pipette_0) → pick(flask_0) → shake(flask_0) → place(flask_0)</t>
  </si>
  <si>
    <t>stir_small_beaker_wait_then_mechanical_pipette_large_beaker_to_flask_and_shake</t>
  </si>
  <si>
    <t>Stir the CuSO4 solution in the small beaker with the glass rod. Wait until a human adds FeCl2 solution to the fixed large beaker, transfer that solution to the flask with the mechanical pipette, then shake the flask.</t>
  </si>
  <si>
    <t>small_beaker_0; glass_rod_0; large_beaker_0; mechanical_pipette_0; flask_0; CuSO4_solution_0; FeCl2_solution_1; human_liquid_addition_0</t>
  </si>
  <si>
    <t>pick(glass_rod_0) → stir_entity_with_tool(glass_rod_0, small_beaker_0) → place(glass_rod_0) → wait_for(liquid_added_to_large_beaker_0) → pick(mechanical_pipette_0) → moveto_entity(mechanical_pipette_0, large_beaker_0) → aspirate(mechanical_pipette_0, large_beaker_0) → moveto_entity(mechanical_pipette_0, flask_0) → dispense(mechanical_pipette_0, flask_0) → place(mechanical_pipette_0) → pick(flask_0) → shake(flask_0) → place(flask_0)</t>
  </si>
  <si>
    <t>two_human_additions_stir_small_beaker_then_shake_tube</t>
  </si>
  <si>
    <t>Wait until a human adds CuSO4 solution to the small beaker, then stir it with the glass rod. Next, wait until a human adds FeCl2 solution to the fixed large beaker, transfer it to the tube with the pipette, then shake the tube.</t>
  </si>
  <si>
    <t>small_beaker_0; glass_rod_0; large_beaker_0; pipette_0; chemistry_tube_0; tube_rack_0; CuSO4_solution_0; FeCl2_solution_1; human_liquid_addition_0; human_liquid_addition_1</t>
  </si>
  <si>
    <t>wait_for(liquid_added_to_small_beaker_0) → pick(glass_rod_0) → stir_entity_with_tool(glass_rod_0, small_beaker_0) → place(glass_rod_0) → wait_for(liquid_added_to_large_beaker_0) → pick(pipette_0) → moveto_entity(pipette_0, large_beaker_0) → aspirate(pipette_0, large_beaker_0) → moveto_entity(pipette_0, chemistry_tube_0) → dispense(pipette_0, chemistry_tube_0) → place(pipette_0) → pick(chemistry_tube_0) → shake(chemistry_tube_0) → insert_to_entity(chemistry_tube_0, tube_rack_0)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</si>
</sst>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1"/>
      <color rgb="FFFFFFFF"/>
      <name val="Carlito"/>
      <charset val="134"/>
    </font>
    <font>
      <i/>
      <sz val="11"/>
      <color rgb="FF17324D"/>
      <name val="Carlito"/>
      <charset val="134"/>
    </font>
    <font>
      <sz val="11"/>
      <color rgb="FF1F2933"/>
      <name val="Carlito"/>
      <charset val="134"/>
    </font>
    <font>
      <b/>
      <sz val="12"/>
      <color rgb="FFFFFFFF"/>
      <name val="Carlito"/>
      <charset val="134"/>
    </font>
    <font>
      <sz val="10"/>
      <color rgb="FF1F2933"/>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24D"/>
        <bgColor indexed="64"/>
      </patternFill>
    </fill>
    <fill>
      <patternFill patternType="solid">
        <fgColor rgb="FFDCEAF3"/>
        <bgColor indexed="64"/>
      </patternFill>
    </fill>
    <fill>
      <patternFill patternType="solid">
        <fgColor rgb="FF176B73"/>
        <bgColor indexed="64"/>
      </patternFill>
    </fill>
    <fill>
      <patternFill patternType="solid">
        <fgColor rgb="FFD8F0F7"/>
        <bgColor indexed="64"/>
      </patternFill>
    </fill>
    <fill>
      <patternFill patternType="solid">
        <fgColor rgb="FFFFF4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17324D"/>
      </left>
      <right/>
      <top style="thin">
        <color rgb="FF17324D"/>
      </top>
      <bottom style="thin">
        <color rgb="FF17324D"/>
      </bottom>
      <diagonal/>
    </border>
    <border>
      <left/>
      <right/>
      <top style="thin">
        <color rgb="FF17324D"/>
      </top>
      <bottom style="thin">
        <color rgb="FF17324D"/>
      </bottom>
      <diagonal/>
    </border>
    <border>
      <left/>
      <right/>
      <top style="thin">
        <color rgb="FFD8E1E7"/>
      </top>
      <bottom/>
      <diagonal/>
    </border>
    <border>
      <left/>
      <right/>
      <top/>
      <bottom style="thin">
        <color rgb="FFD8E1E7"/>
      </bottom>
      <diagonal/>
    </border>
    <border>
      <left/>
      <right style="thin">
        <color rgb="FF17324D"/>
      </right>
      <top style="thin">
        <color rgb="FF17324D"/>
      </top>
      <bottom style="thin">
        <color rgb="FF17324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6"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7" applyNumberFormat="0" applyFill="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4" fillId="0" borderId="0" applyNumberFormat="0" applyFill="0" applyBorder="0" applyAlignment="0" applyProtection="0">
      <alignment vertical="center"/>
    </xf>
    <xf numFmtId="0" fontId="15" fillId="8" borderId="9" applyNumberFormat="0" applyAlignment="0" applyProtection="0">
      <alignment vertical="center"/>
    </xf>
    <xf numFmtId="0" fontId="16" fillId="9" borderId="10" applyNumberFormat="0" applyAlignment="0" applyProtection="0">
      <alignment vertical="center"/>
    </xf>
    <xf numFmtId="0" fontId="17" fillId="9" borderId="9" applyNumberFormat="0" applyAlignment="0" applyProtection="0">
      <alignment vertical="center"/>
    </xf>
    <xf numFmtId="0" fontId="18" fillId="10" borderId="11" applyNumberFormat="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0" fillId="0" borderId="0"/>
  </cellStyleXfs>
  <cellXfs count="27">
    <xf numFmtId="0" fontId="0" fillId="0" borderId="0" xfId="49"/>
    <xf numFmtId="0" fontId="1" fillId="2" borderId="0" xfId="49" applyNumberFormat="1" applyFont="1" applyFill="1" applyBorder="1" applyAlignment="1">
      <alignment horizontal="left" vertical="center"/>
    </xf>
    <xf numFmtId="0" fontId="2" fillId="3" borderId="0" xfId="49" applyNumberFormat="1" applyFont="1" applyFill="1" applyBorder="1" applyAlignment="1">
      <alignment vertical="center" wrapText="1"/>
    </xf>
    <xf numFmtId="0" fontId="1" fillId="4" borderId="1" xfId="49" applyNumberFormat="1" applyFont="1" applyFill="1" applyBorder="1" applyAlignment="1">
      <alignment horizontal="center" vertical="center" wrapText="1"/>
    </xf>
    <xf numFmtId="0" fontId="1" fillId="4" borderId="2" xfId="49" applyNumberFormat="1" applyFont="1" applyFill="1" applyBorder="1" applyAlignment="1">
      <alignment horizontal="center" vertical="center" wrapText="1"/>
    </xf>
    <xf numFmtId="0" fontId="3" fillId="5" borderId="3" xfId="49" applyNumberFormat="1" applyFont="1" applyFill="1" applyBorder="1" applyAlignment="1">
      <alignment vertical="top" wrapText="1"/>
    </xf>
    <xf numFmtId="0" fontId="3" fillId="5" borderId="3" xfId="49" applyNumberFormat="1" applyFont="1" applyFill="1" applyBorder="1" applyAlignment="1">
      <alignment horizontal="center" vertical="top" wrapText="1"/>
    </xf>
    <xf numFmtId="0" fontId="3" fillId="0" borderId="0" xfId="49" applyNumberFormat="1" applyFont="1" applyFill="1" applyBorder="1" applyAlignment="1">
      <alignment vertical="top" wrapText="1"/>
    </xf>
    <xf numFmtId="0" fontId="3" fillId="0" borderId="0" xfId="49" applyNumberFormat="1" applyFont="1" applyFill="1" applyBorder="1" applyAlignment="1">
      <alignment horizontal="center" vertical="top" wrapText="1"/>
    </xf>
    <xf numFmtId="0" fontId="3" fillId="5" borderId="0" xfId="49" applyNumberFormat="1" applyFont="1" applyFill="1" applyBorder="1" applyAlignment="1">
      <alignment vertical="top" wrapText="1"/>
    </xf>
    <xf numFmtId="0" fontId="3" fillId="5" borderId="0" xfId="49" applyNumberFormat="1" applyFont="1" applyFill="1" applyBorder="1" applyAlignment="1">
      <alignment horizontal="center" vertical="top" wrapText="1"/>
    </xf>
    <xf numFmtId="0" fontId="3" fillId="0" borderId="4" xfId="49" applyNumberFormat="1" applyFont="1" applyFill="1" applyBorder="1" applyAlignment="1">
      <alignment vertical="top" wrapText="1"/>
    </xf>
    <xf numFmtId="0" fontId="3" fillId="0" borderId="4" xfId="49" applyNumberFormat="1" applyFont="1" applyFill="1" applyBorder="1" applyAlignment="1">
      <alignment horizontal="center" vertical="top" wrapText="1"/>
    </xf>
    <xf numFmtId="0" fontId="1" fillId="4" borderId="5" xfId="49" applyNumberFormat="1" applyFont="1" applyFill="1" applyBorder="1" applyAlignment="1">
      <alignment horizontal="center" vertical="center" wrapText="1"/>
    </xf>
    <xf numFmtId="0" fontId="4" fillId="2" borderId="0" xfId="49" applyNumberFormat="1" applyFont="1" applyFill="1" applyBorder="1" applyAlignment="1">
      <alignment vertical="center"/>
    </xf>
    <xf numFmtId="0" fontId="3" fillId="5" borderId="3" xfId="49" applyNumberFormat="1" applyFont="1" applyFill="1" applyBorder="1" applyAlignment="1">
      <alignment vertical="center"/>
    </xf>
    <xf numFmtId="0" fontId="3" fillId="5" borderId="3" xfId="49" applyNumberFormat="1" applyFont="1" applyFill="1" applyBorder="1" applyAlignment="1">
      <alignment horizontal="center" vertical="center"/>
    </xf>
    <xf numFmtId="0" fontId="3" fillId="0" borderId="0" xfId="49" applyNumberFormat="1" applyFont="1" applyFill="1" applyBorder="1" applyAlignment="1">
      <alignment vertical="center"/>
    </xf>
    <xf numFmtId="0" fontId="3" fillId="0" borderId="0" xfId="49" applyNumberFormat="1" applyFont="1" applyFill="1" applyBorder="1" applyAlignment="1">
      <alignment horizontal="center" vertical="center"/>
    </xf>
    <xf numFmtId="0" fontId="3" fillId="5" borderId="0" xfId="49" applyNumberFormat="1" applyFont="1" applyFill="1" applyBorder="1" applyAlignment="1">
      <alignment vertical="center"/>
    </xf>
    <xf numFmtId="0" fontId="3" fillId="5" borderId="0" xfId="49" applyNumberFormat="1" applyFont="1" applyFill="1" applyBorder="1" applyAlignment="1">
      <alignment horizontal="center" vertical="center"/>
    </xf>
    <xf numFmtId="0" fontId="3" fillId="5" borderId="4" xfId="49" applyNumberFormat="1" applyFont="1" applyFill="1" applyBorder="1" applyAlignment="1">
      <alignment vertical="center"/>
    </xf>
    <xf numFmtId="0" fontId="3" fillId="5" borderId="4" xfId="49" applyNumberFormat="1" applyFont="1" applyFill="1" applyBorder="1" applyAlignment="1">
      <alignment horizontal="center" vertical="center"/>
    </xf>
    <xf numFmtId="0" fontId="1" fillId="2" borderId="1" xfId="49" applyNumberFormat="1" applyFont="1" applyFill="1" applyBorder="1" applyAlignment="1">
      <alignment vertical="center"/>
    </xf>
    <xf numFmtId="0" fontId="1" fillId="2" borderId="2" xfId="49" applyNumberFormat="1" applyFont="1" applyFill="1" applyBorder="1" applyAlignment="1">
      <alignment horizontal="center" vertical="center"/>
    </xf>
    <xf numFmtId="0" fontId="5" fillId="6" borderId="0" xfId="49" applyNumberFormat="1" applyFont="1" applyFill="1" applyBorder="1" applyAlignment="1">
      <alignment vertical="center" wrapText="1"/>
    </xf>
    <xf numFmtId="0" fontId="1" fillId="2" borderId="5" xfId="49"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DirectStirringTasks" displayName="DirectStirringTasks" ref="A4:E12" totalsRowShown="0">
  <autoFilter xmlns:etc="http://www.wps.cn/officeDocument/2017/etCustomData" ref="A4:E12" etc:filterBottomFollowUsedRange="0"/>
  <tableColumns count="5">
    <tableColumn id="1" name="Task name"/>
    <tableColumn id="2" name="Primary family"/>
    <tableColumn id="3" name="Instruction"/>
    <tableColumn id="4" name="entities"/>
    <tableColumn id="5" name="P: executable program"/>
  </tableColumns>
  <tableStyleInfo name="TableStyleMedium2" showFirstColumn="0" showLastColumn="0" showRowStripes="1" showColumnStripes="0"/>
</table>
</file>

<file path=xl/tables/table2.xml><?xml version="1.0" encoding="utf-8"?>
<table xmlns="http://schemas.openxmlformats.org/spreadsheetml/2006/main" id="2" name="ShakingMixingTasks" displayName="ShakingMixingTasks" ref="A4:E16" totalsRowShown="0">
  <autoFilter xmlns:etc="http://www.wps.cn/officeDocument/2017/etCustomData" ref="A4:E16" etc:filterBottomFollowUsedRange="0"/>
  <tableColumns count="5">
    <tableColumn id="1" name="Task name"/>
    <tableColumn id="2" name="Primary family"/>
    <tableColumn id="3" name="Instruction"/>
    <tableColumn id="4" name="entities"/>
    <tableColumn id="5" name="P: executable program"/>
  </tableColumns>
  <tableStyleInfo name="TableStyleMedium2" showFirstColumn="0" showLastColumn="0" showRowStripes="1" showColumnStripes="0"/>
</table>
</file>

<file path=xl/tables/table3.xml><?xml version="1.0" encoding="utf-8"?>
<table xmlns="http://schemas.openxmlformats.org/spreadsheetml/2006/main" id="3" name="PouringMixingTasks" displayName="PouringMixingTasks" ref="A4:E16" totalsRowShown="0">
  <autoFilter xmlns:etc="http://www.wps.cn/officeDocument/2017/etCustomData" ref="A4:E16" etc:filterBottomFollowUsedRange="0"/>
  <tableColumns count="5">
    <tableColumn id="1" name="Task name"/>
    <tableColumn id="2" name="Primary family"/>
    <tableColumn id="3" name="Instruction"/>
    <tableColumn id="4" name="entities"/>
    <tableColumn id="5" name="P: executable program"/>
  </tableColumns>
  <tableStyleInfo name="TableStyleMedium2" showFirstColumn="0" showLastColumn="0" showRowStripes="1" showColumnStripes="0"/>
</table>
</file>

<file path=xl/tables/table4.xml><?xml version="1.0" encoding="utf-8"?>
<table xmlns="http://schemas.openxmlformats.org/spreadsheetml/2006/main" id="4" name="OrderedAdditionMixingTasks" displayName="OrderedAdditionMixingTasks" ref="A4:E20" totalsRowShown="0">
  <autoFilter xmlns:etc="http://www.wps.cn/officeDocument/2017/etCustomData" ref="A4:E20" etc:filterBottomFollowUsedRange="0"/>
  <tableColumns count="5">
    <tableColumn id="1" name="Task name"/>
    <tableColumn id="2" name="Primary family"/>
    <tableColumn id="3" name="Instruction"/>
    <tableColumn id="4" name="entities"/>
    <tableColumn id="5" name="P: executable program"/>
  </tableColumns>
  <tableStyleInfo name="TableStyleMedium2" showFirstColumn="0" showLastColumn="0" showRowStripes="1" showColumnStripes="0"/>
</table>
</file>

<file path=xl/tables/table5.xml><?xml version="1.0" encoding="utf-8"?>
<table xmlns="http://schemas.openxmlformats.org/spreadsheetml/2006/main" id="5" name="HumanTriggeredMixingTasks" displayName="HumanTriggeredMixingTasks" ref="A4:E12" totalsRowShown="0">
  <autoFilter xmlns:etc="http://www.wps.cn/officeDocument/2017/etCustomData" ref="A4:E12" etc:filterBottomFollowUsedRange="0"/>
  <tableColumns count="5">
    <tableColumn id="1" name="Task name"/>
    <tableColumn id="2" name="Primary family"/>
    <tableColumn id="3" name="Instruction"/>
    <tableColumn id="4" name="entities"/>
    <tableColumn id="5" name="P: executable progra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324D"/>
  </sheetPr>
  <dimension ref="A1:E15"/>
  <sheetViews>
    <sheetView showGridLines="0" workbookViewId="0">
      <selection activeCell="A1" sqref="A1:E1"/>
    </sheetView>
  </sheetViews>
  <sheetFormatPr defaultColWidth="9" defaultRowHeight="13.5" outlineLevelCol="4"/>
  <cols>
    <col min="1" max="1" width="46" customWidth="1"/>
    <col min="2" max="5" width="24" customWidth="1"/>
  </cols>
  <sheetData>
    <row r="1" ht="30" customHeight="1" spans="1:5">
      <c r="A1" s="14" t="s">
        <v>0</v>
      </c>
      <c r="B1" s="14"/>
      <c r="C1" s="14"/>
      <c r="D1" s="14"/>
      <c r="E1" s="14"/>
    </row>
    <row r="2" ht="42" customHeight="1" spans="1:5">
      <c r="A2" s="2" t="s">
        <v>1</v>
      </c>
      <c r="B2" s="2"/>
      <c r="C2" s="2"/>
      <c r="D2" s="2"/>
      <c r="E2" s="2"/>
    </row>
    <row r="4" ht="30" customHeight="1" spans="1:5">
      <c r="A4" s="3" t="s">
        <v>2</v>
      </c>
      <c r="B4" s="4" t="s">
        <v>3</v>
      </c>
      <c r="C4" s="4" t="s">
        <v>4</v>
      </c>
      <c r="D4" s="4" t="s">
        <v>5</v>
      </c>
      <c r="E4" s="13" t="s">
        <v>6</v>
      </c>
    </row>
    <row r="5" ht="28" customHeight="1" spans="1:5">
      <c r="A5" s="15" t="s">
        <v>7</v>
      </c>
      <c r="B5" s="16">
        <f>COUNTA(直接搅拌!A5:A12)</f>
        <v>8</v>
      </c>
      <c r="C5" s="16">
        <v>0</v>
      </c>
      <c r="D5" s="16">
        <v>0</v>
      </c>
      <c r="E5" s="16">
        <f>B5</f>
        <v>8</v>
      </c>
    </row>
    <row r="6" ht="28" customHeight="1" spans="1:5">
      <c r="A6" s="17" t="s">
        <v>8</v>
      </c>
      <c r="B6" s="18">
        <f>COUNTA(振荡混合!A5:A16)</f>
        <v>12</v>
      </c>
      <c r="C6" s="18">
        <v>0</v>
      </c>
      <c r="D6" s="18">
        <v>0</v>
      </c>
      <c r="E6" s="18">
        <f>B6</f>
        <v>12</v>
      </c>
    </row>
    <row r="7" ht="28" customHeight="1" spans="1:5">
      <c r="A7" s="19" t="s">
        <v>9</v>
      </c>
      <c r="B7" s="20">
        <f>COUNTA(倾倒混合!A5:A16)</f>
        <v>12</v>
      </c>
      <c r="C7" s="20">
        <v>0</v>
      </c>
      <c r="D7" s="20">
        <v>0</v>
      </c>
      <c r="E7" s="20">
        <f>B7</f>
        <v>12</v>
      </c>
    </row>
    <row r="8" ht="28" customHeight="1" spans="1:5">
      <c r="A8" s="17" t="s">
        <v>10</v>
      </c>
      <c r="B8" s="18">
        <f>COUNTA(有序加液后混合!A5:A20)</f>
        <v>16</v>
      </c>
      <c r="C8" s="18">
        <v>0</v>
      </c>
      <c r="D8" s="18">
        <v>0</v>
      </c>
      <c r="E8" s="18">
        <f>B8</f>
        <v>16</v>
      </c>
    </row>
    <row r="9" ht="28" customHeight="1" spans="1:5">
      <c r="A9" s="21" t="s">
        <v>11</v>
      </c>
      <c r="B9" s="22">
        <f>COUNTA(人工触发流程!A5:A12)</f>
        <v>8</v>
      </c>
      <c r="C9" s="22">
        <v>0</v>
      </c>
      <c r="D9" s="22">
        <v>8</v>
      </c>
      <c r="E9" s="22">
        <f>B9</f>
        <v>8</v>
      </c>
    </row>
    <row r="10" ht="28" customHeight="1" spans="1:5">
      <c r="A10" s="23" t="s">
        <v>12</v>
      </c>
      <c r="B10" s="24">
        <f>SUM(B5:B9)</f>
        <v>56</v>
      </c>
      <c r="C10" s="24">
        <f>SUM(C5:C9)</f>
        <v>0</v>
      </c>
      <c r="D10" s="24">
        <f>SUM(D5:D9)</f>
        <v>8</v>
      </c>
      <c r="E10" s="26">
        <f>SUM(E5:E9)</f>
        <v>56</v>
      </c>
    </row>
    <row r="12" ht="42" customHeight="1" spans="1:5">
      <c r="A12" s="25" t="s">
        <v>13</v>
      </c>
      <c r="B12" s="25"/>
      <c r="C12" s="25"/>
      <c r="D12" s="25"/>
      <c r="E12" s="25"/>
    </row>
    <row r="13" ht="42" customHeight="1" spans="1:5">
      <c r="A13" s="25" t="s">
        <v>14</v>
      </c>
      <c r="B13" s="25"/>
      <c r="C13" s="25"/>
      <c r="D13" s="25"/>
      <c r="E13" s="25"/>
    </row>
    <row r="14" ht="42" customHeight="1" spans="1:5">
      <c r="A14" s="25" t="s">
        <v>15</v>
      </c>
      <c r="B14" s="25"/>
      <c r="C14" s="25"/>
      <c r="D14" s="25"/>
      <c r="E14" s="25"/>
    </row>
    <row r="15" ht="42" customHeight="1" spans="1:5">
      <c r="A15" s="25" t="s">
        <v>16</v>
      </c>
      <c r="B15" s="25"/>
      <c r="C15" s="25"/>
      <c r="D15" s="25"/>
      <c r="E15" s="25"/>
    </row>
  </sheetData>
  <mergeCells count="6">
    <mergeCell ref="A1:E1"/>
    <mergeCell ref="A2:E2"/>
    <mergeCell ref="A12:E12"/>
    <mergeCell ref="A13:E13"/>
    <mergeCell ref="A14:E14"/>
    <mergeCell ref="A15:E1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showGridLines="0" zoomScale="115" zoomScaleNormal="115" workbookViewId="0">
      <pane ySplit="4" topLeftCell="A5" activePane="bottomLeft" state="frozen"/>
      <selection/>
      <selection pane="bottomLeft" activeCell="C12" sqref="C12"/>
    </sheetView>
  </sheetViews>
  <sheetFormatPr defaultColWidth="9" defaultRowHeight="13.5" outlineLevelCol="4"/>
  <cols>
    <col min="1" max="1" width="35" customWidth="1"/>
    <col min="2" max="2" width="18" customWidth="1"/>
    <col min="3" max="3" width="78" customWidth="1"/>
    <col min="4" max="4" width="52" customWidth="1"/>
    <col min="5" max="5" width="105" customWidth="1"/>
  </cols>
  <sheetData>
    <row r="1" ht="28.05" customHeight="1" spans="1:5">
      <c r="A1" s="1" t="s">
        <v>7</v>
      </c>
      <c r="B1" s="1"/>
      <c r="C1" s="1"/>
      <c r="D1" s="1"/>
      <c r="E1" s="1"/>
    </row>
    <row r="2" ht="31.95" customHeight="1" spans="1:5">
      <c r="A2" s="2" t="s">
        <v>17</v>
      </c>
      <c r="B2" s="2"/>
      <c r="C2" s="2"/>
      <c r="D2" s="2"/>
      <c r="E2" s="2"/>
    </row>
    <row r="3" ht="10" customHeight="1"/>
    <row r="4" ht="30" customHeight="1" spans="1:5">
      <c r="A4" s="3" t="s">
        <v>18</v>
      </c>
      <c r="B4" s="4" t="s">
        <v>19</v>
      </c>
      <c r="C4" s="4" t="s">
        <v>20</v>
      </c>
      <c r="D4" s="4" t="s">
        <v>21</v>
      </c>
      <c r="E4" s="13" t="s">
        <v>22</v>
      </c>
    </row>
    <row r="5" ht="54" customHeight="1" spans="1:5">
      <c r="A5" s="5" t="s">
        <v>23</v>
      </c>
      <c r="B5" s="6" t="s">
        <v>24</v>
      </c>
      <c r="C5" s="5" t="s">
        <v>25</v>
      </c>
      <c r="D5" s="5" t="s">
        <v>26</v>
      </c>
      <c r="E5" s="5" t="s">
        <v>27</v>
      </c>
    </row>
    <row r="6" ht="54" customHeight="1" spans="1:5">
      <c r="A6" s="7" t="s">
        <v>28</v>
      </c>
      <c r="B6" s="8" t="s">
        <v>24</v>
      </c>
      <c r="C6" s="7" t="s">
        <v>29</v>
      </c>
      <c r="D6" s="7" t="s">
        <v>30</v>
      </c>
      <c r="E6" s="7" t="s">
        <v>31</v>
      </c>
    </row>
    <row r="7" ht="66" customHeight="1" spans="1:5">
      <c r="A7" s="9" t="s">
        <v>32</v>
      </c>
      <c r="B7" s="10" t="s">
        <v>24</v>
      </c>
      <c r="C7" s="9" t="s">
        <v>33</v>
      </c>
      <c r="D7" s="9" t="s">
        <v>34</v>
      </c>
      <c r="E7" s="9" t="s">
        <v>35</v>
      </c>
    </row>
    <row r="8" ht="66" customHeight="1" spans="1:5">
      <c r="A8" s="7" t="s">
        <v>36</v>
      </c>
      <c r="B8" s="8" t="s">
        <v>24</v>
      </c>
      <c r="C8" s="7" t="s">
        <v>37</v>
      </c>
      <c r="D8" s="7" t="s">
        <v>38</v>
      </c>
      <c r="E8" s="7" t="s">
        <v>39</v>
      </c>
    </row>
    <row r="9" ht="66" customHeight="1" spans="1:5">
      <c r="A9" s="9" t="s">
        <v>40</v>
      </c>
      <c r="B9" s="10" t="s">
        <v>24</v>
      </c>
      <c r="C9" s="9" t="s">
        <v>41</v>
      </c>
      <c r="D9" s="9" t="s">
        <v>42</v>
      </c>
      <c r="E9" s="9" t="s">
        <v>43</v>
      </c>
    </row>
    <row r="10" ht="66" customHeight="1" spans="1:5">
      <c r="A10" s="7" t="s">
        <v>44</v>
      </c>
      <c r="B10" s="8" t="s">
        <v>24</v>
      </c>
      <c r="C10" s="7" t="s">
        <v>45</v>
      </c>
      <c r="D10" s="7" t="s">
        <v>46</v>
      </c>
      <c r="E10" s="7" t="s">
        <v>47</v>
      </c>
    </row>
    <row r="11" ht="66" customHeight="1" spans="1:5">
      <c r="A11" s="9" t="s">
        <v>48</v>
      </c>
      <c r="B11" s="10" t="s">
        <v>24</v>
      </c>
      <c r="C11" s="9" t="s">
        <v>49</v>
      </c>
      <c r="D11" s="9" t="s">
        <v>50</v>
      </c>
      <c r="E11" s="9" t="s">
        <v>51</v>
      </c>
    </row>
    <row r="12" ht="66" customHeight="1" spans="1:5">
      <c r="A12" s="11" t="s">
        <v>52</v>
      </c>
      <c r="B12" s="12" t="s">
        <v>24</v>
      </c>
      <c r="C12" s="11" t="s">
        <v>53</v>
      </c>
      <c r="D12" s="11" t="s">
        <v>54</v>
      </c>
      <c r="E12" s="11" t="s">
        <v>55</v>
      </c>
    </row>
  </sheetData>
  <mergeCells count="2">
    <mergeCell ref="A1:E1"/>
    <mergeCell ref="A2:E2"/>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showGridLines="0" workbookViewId="0">
      <pane ySplit="4" topLeftCell="A6" activePane="bottomLeft" state="frozen"/>
      <selection/>
      <selection pane="bottomLeft" activeCell="C16" sqref="C16"/>
    </sheetView>
  </sheetViews>
  <sheetFormatPr defaultColWidth="9" defaultRowHeight="13.5" outlineLevelCol="4"/>
  <cols>
    <col min="1" max="1" width="35" customWidth="1"/>
    <col min="2" max="2" width="18" customWidth="1"/>
    <col min="3" max="3" width="78" customWidth="1"/>
    <col min="4" max="4" width="52" customWidth="1"/>
    <col min="5" max="5" width="105" customWidth="1"/>
  </cols>
  <sheetData>
    <row r="1" ht="28.05" customHeight="1" spans="1:5">
      <c r="A1" s="1" t="s">
        <v>8</v>
      </c>
      <c r="B1" s="1"/>
      <c r="C1" s="1"/>
      <c r="D1" s="1"/>
      <c r="E1" s="1"/>
    </row>
    <row r="2" ht="31.95" customHeight="1" spans="1:5">
      <c r="A2" s="2" t="s">
        <v>56</v>
      </c>
      <c r="B2" s="2"/>
      <c r="C2" s="2"/>
      <c r="D2" s="2"/>
      <c r="E2" s="2"/>
    </row>
    <row r="3" ht="10" customHeight="1"/>
    <row r="4" ht="30" customHeight="1" spans="1:5">
      <c r="A4" s="3" t="s">
        <v>18</v>
      </c>
      <c r="B4" s="4" t="s">
        <v>19</v>
      </c>
      <c r="C4" s="4" t="s">
        <v>20</v>
      </c>
      <c r="D4" s="4" t="s">
        <v>21</v>
      </c>
      <c r="E4" s="13" t="s">
        <v>22</v>
      </c>
    </row>
    <row r="5" ht="54" customHeight="1" spans="1:5">
      <c r="A5" s="5" t="s">
        <v>57</v>
      </c>
      <c r="B5" s="6" t="s">
        <v>24</v>
      </c>
      <c r="C5" s="5" t="s">
        <v>58</v>
      </c>
      <c r="D5" s="5" t="s">
        <v>59</v>
      </c>
      <c r="E5" s="5" t="s">
        <v>60</v>
      </c>
    </row>
    <row r="6" ht="54" customHeight="1" spans="1:5">
      <c r="A6" s="7" t="s">
        <v>61</v>
      </c>
      <c r="B6" s="8" t="s">
        <v>24</v>
      </c>
      <c r="C6" s="7" t="s">
        <v>62</v>
      </c>
      <c r="D6" s="7" t="s">
        <v>63</v>
      </c>
      <c r="E6" s="7" t="s">
        <v>64</v>
      </c>
    </row>
    <row r="7" ht="66" customHeight="1" spans="1:5">
      <c r="A7" s="9" t="s">
        <v>65</v>
      </c>
      <c r="B7" s="10" t="s">
        <v>24</v>
      </c>
      <c r="C7" s="9" t="s">
        <v>66</v>
      </c>
      <c r="D7" s="9" t="s">
        <v>67</v>
      </c>
      <c r="E7" s="9" t="s">
        <v>68</v>
      </c>
    </row>
    <row r="8" ht="54" customHeight="1" spans="1:5">
      <c r="A8" s="7" t="s">
        <v>69</v>
      </c>
      <c r="B8" s="8" t="s">
        <v>24</v>
      </c>
      <c r="C8" s="7" t="s">
        <v>70</v>
      </c>
      <c r="D8" s="7" t="s">
        <v>71</v>
      </c>
      <c r="E8" s="7" t="s">
        <v>72</v>
      </c>
    </row>
    <row r="9" ht="66" customHeight="1" spans="1:5">
      <c r="A9" s="9" t="s">
        <v>73</v>
      </c>
      <c r="B9" s="10" t="s">
        <v>24</v>
      </c>
      <c r="C9" s="9" t="s">
        <v>74</v>
      </c>
      <c r="D9" s="9" t="s">
        <v>75</v>
      </c>
      <c r="E9" s="9" t="s">
        <v>76</v>
      </c>
    </row>
    <row r="10" ht="66" customHeight="1" spans="1:5">
      <c r="A10" s="7" t="s">
        <v>77</v>
      </c>
      <c r="B10" s="8" t="s">
        <v>24</v>
      </c>
      <c r="C10" s="7" t="s">
        <v>78</v>
      </c>
      <c r="D10" s="7" t="s">
        <v>79</v>
      </c>
      <c r="E10" s="7" t="s">
        <v>80</v>
      </c>
    </row>
    <row r="11" ht="54" customHeight="1" spans="1:5">
      <c r="A11" s="9" t="s">
        <v>81</v>
      </c>
      <c r="B11" s="10" t="s">
        <v>24</v>
      </c>
      <c r="C11" s="9" t="s">
        <v>82</v>
      </c>
      <c r="D11" s="9" t="s">
        <v>83</v>
      </c>
      <c r="E11" s="9" t="s">
        <v>84</v>
      </c>
    </row>
    <row r="12" ht="54" customHeight="1" spans="1:5">
      <c r="A12" s="7" t="s">
        <v>85</v>
      </c>
      <c r="B12" s="8" t="s">
        <v>24</v>
      </c>
      <c r="C12" s="7" t="s">
        <v>86</v>
      </c>
      <c r="D12" s="7" t="s">
        <v>87</v>
      </c>
      <c r="E12" s="7" t="s">
        <v>88</v>
      </c>
    </row>
    <row r="13" ht="66" customHeight="1" spans="1:5">
      <c r="A13" s="9" t="s">
        <v>89</v>
      </c>
      <c r="B13" s="10" t="s">
        <v>24</v>
      </c>
      <c r="C13" s="9" t="s">
        <v>90</v>
      </c>
      <c r="D13" s="9" t="s">
        <v>91</v>
      </c>
      <c r="E13" s="9" t="s">
        <v>92</v>
      </c>
    </row>
    <row r="14" ht="54" customHeight="1" spans="1:5">
      <c r="A14" s="7" t="s">
        <v>93</v>
      </c>
      <c r="B14" s="8" t="s">
        <v>24</v>
      </c>
      <c r="C14" s="7" t="s">
        <v>94</v>
      </c>
      <c r="D14" s="7" t="s">
        <v>95</v>
      </c>
      <c r="E14" s="7" t="s">
        <v>96</v>
      </c>
    </row>
    <row r="15" ht="66" customHeight="1" spans="1:5">
      <c r="A15" s="9" t="s">
        <v>97</v>
      </c>
      <c r="B15" s="10" t="s">
        <v>24</v>
      </c>
      <c r="C15" s="9" t="s">
        <v>98</v>
      </c>
      <c r="D15" s="9" t="s">
        <v>99</v>
      </c>
      <c r="E15" s="9" t="s">
        <v>100</v>
      </c>
    </row>
    <row r="16" ht="66" customHeight="1" spans="1:5">
      <c r="A16" s="11" t="s">
        <v>101</v>
      </c>
      <c r="B16" s="12" t="s">
        <v>24</v>
      </c>
      <c r="C16" s="11" t="s">
        <v>102</v>
      </c>
      <c r="D16" s="11" t="s">
        <v>103</v>
      </c>
      <c r="E16" s="11" t="s">
        <v>104</v>
      </c>
    </row>
  </sheetData>
  <mergeCells count="2">
    <mergeCell ref="A1:E1"/>
    <mergeCell ref="A2:E2"/>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6"/>
  <sheetViews>
    <sheetView showGridLines="0" workbookViewId="0">
      <pane ySplit="4" topLeftCell="A6" activePane="bottomLeft" state="frozen"/>
      <selection/>
      <selection pane="bottomLeft" activeCell="C16" sqref="C16"/>
    </sheetView>
  </sheetViews>
  <sheetFormatPr defaultColWidth="9" defaultRowHeight="13.5" outlineLevelCol="4"/>
  <cols>
    <col min="1" max="1" width="35" customWidth="1"/>
    <col min="2" max="2" width="18" customWidth="1"/>
    <col min="3" max="3" width="78" customWidth="1"/>
    <col min="4" max="4" width="52" customWidth="1"/>
    <col min="5" max="5" width="105" customWidth="1"/>
  </cols>
  <sheetData>
    <row r="1" ht="28.05" customHeight="1" spans="1:5">
      <c r="A1" s="1" t="s">
        <v>9</v>
      </c>
      <c r="B1" s="1"/>
      <c r="C1" s="1"/>
      <c r="D1" s="1"/>
      <c r="E1" s="1"/>
    </row>
    <row r="2" ht="31.95" customHeight="1" spans="1:5">
      <c r="A2" s="2" t="s">
        <v>56</v>
      </c>
      <c r="B2" s="2"/>
      <c r="C2" s="2"/>
      <c r="D2" s="2"/>
      <c r="E2" s="2"/>
    </row>
    <row r="3" ht="10" customHeight="1"/>
    <row r="4" ht="30" customHeight="1" spans="1:5">
      <c r="A4" s="3" t="s">
        <v>18</v>
      </c>
      <c r="B4" s="4" t="s">
        <v>19</v>
      </c>
      <c r="C4" s="4" t="s">
        <v>20</v>
      </c>
      <c r="D4" s="4" t="s">
        <v>21</v>
      </c>
      <c r="E4" s="13" t="s">
        <v>22</v>
      </c>
    </row>
    <row r="5" ht="66" customHeight="1" spans="1:5">
      <c r="A5" s="5" t="s">
        <v>105</v>
      </c>
      <c r="B5" s="6" t="s">
        <v>24</v>
      </c>
      <c r="C5" s="5" t="s">
        <v>106</v>
      </c>
      <c r="D5" s="5" t="s">
        <v>107</v>
      </c>
      <c r="E5" s="5" t="s">
        <v>108</v>
      </c>
    </row>
    <row r="6" ht="66" customHeight="1" spans="1:5">
      <c r="A6" s="7" t="s">
        <v>109</v>
      </c>
      <c r="B6" s="8" t="s">
        <v>24</v>
      </c>
      <c r="C6" s="7" t="s">
        <v>110</v>
      </c>
      <c r="D6" s="7" t="s">
        <v>111</v>
      </c>
      <c r="E6" s="7" t="s">
        <v>112</v>
      </c>
    </row>
    <row r="7" ht="54" customHeight="1" spans="1:5">
      <c r="A7" s="9" t="s">
        <v>113</v>
      </c>
      <c r="B7" s="10" t="s">
        <v>24</v>
      </c>
      <c r="C7" s="9" t="s">
        <v>114</v>
      </c>
      <c r="D7" s="9" t="s">
        <v>115</v>
      </c>
      <c r="E7" s="9" t="s">
        <v>116</v>
      </c>
    </row>
    <row r="8" ht="54" customHeight="1" spans="1:5">
      <c r="A8" s="7" t="s">
        <v>117</v>
      </c>
      <c r="B8" s="8" t="s">
        <v>24</v>
      </c>
      <c r="C8" s="7" t="s">
        <v>118</v>
      </c>
      <c r="D8" s="7" t="s">
        <v>119</v>
      </c>
      <c r="E8" s="7" t="s">
        <v>120</v>
      </c>
    </row>
    <row r="9" ht="54" customHeight="1" spans="1:5">
      <c r="A9" s="9" t="s">
        <v>121</v>
      </c>
      <c r="B9" s="10" t="s">
        <v>24</v>
      </c>
      <c r="C9" s="9" t="s">
        <v>122</v>
      </c>
      <c r="D9" s="9" t="s">
        <v>123</v>
      </c>
      <c r="E9" s="9" t="s">
        <v>124</v>
      </c>
    </row>
    <row r="10" ht="54" customHeight="1" spans="1:5">
      <c r="A10" s="7" t="s">
        <v>125</v>
      </c>
      <c r="B10" s="8" t="s">
        <v>24</v>
      </c>
      <c r="C10" s="7" t="s">
        <v>126</v>
      </c>
      <c r="D10" s="7" t="s">
        <v>127</v>
      </c>
      <c r="E10" s="7" t="s">
        <v>128</v>
      </c>
    </row>
    <row r="11" ht="66" customHeight="1" spans="1:5">
      <c r="A11" s="9" t="s">
        <v>129</v>
      </c>
      <c r="B11" s="10" t="s">
        <v>24</v>
      </c>
      <c r="C11" s="9" t="s">
        <v>130</v>
      </c>
      <c r="D11" s="9" t="s">
        <v>107</v>
      </c>
      <c r="E11" s="9" t="s">
        <v>131</v>
      </c>
    </row>
    <row r="12" ht="54" customHeight="1" spans="1:5">
      <c r="A12" s="7" t="s">
        <v>132</v>
      </c>
      <c r="B12" s="8" t="s">
        <v>24</v>
      </c>
      <c r="C12" s="7" t="s">
        <v>133</v>
      </c>
      <c r="D12" s="7" t="s">
        <v>111</v>
      </c>
      <c r="E12" s="7" t="s">
        <v>134</v>
      </c>
    </row>
    <row r="13" ht="66" customHeight="1" spans="1:5">
      <c r="A13" s="9" t="s">
        <v>135</v>
      </c>
      <c r="B13" s="10" t="s">
        <v>24</v>
      </c>
      <c r="C13" s="9" t="s">
        <v>136</v>
      </c>
      <c r="D13" s="9" t="s">
        <v>137</v>
      </c>
      <c r="E13" s="9" t="s">
        <v>138</v>
      </c>
    </row>
    <row r="14" ht="66" customHeight="1" spans="1:5">
      <c r="A14" s="7" t="s">
        <v>139</v>
      </c>
      <c r="B14" s="8" t="s">
        <v>24</v>
      </c>
      <c r="C14" s="7" t="s">
        <v>140</v>
      </c>
      <c r="D14" s="7" t="s">
        <v>141</v>
      </c>
      <c r="E14" s="7" t="s">
        <v>142</v>
      </c>
    </row>
    <row r="15" ht="66" customHeight="1" spans="1:5">
      <c r="A15" s="9" t="s">
        <v>143</v>
      </c>
      <c r="B15" s="10" t="s">
        <v>24</v>
      </c>
      <c r="C15" s="9" t="s">
        <v>144</v>
      </c>
      <c r="D15" s="9" t="s">
        <v>145</v>
      </c>
      <c r="E15" s="9" t="s">
        <v>146</v>
      </c>
    </row>
    <row r="16" ht="66" customHeight="1" spans="1:5">
      <c r="A16" s="11" t="s">
        <v>147</v>
      </c>
      <c r="B16" s="12" t="s">
        <v>24</v>
      </c>
      <c r="C16" s="11" t="s">
        <v>148</v>
      </c>
      <c r="D16" s="11" t="s">
        <v>149</v>
      </c>
      <c r="E16" s="11" t="s">
        <v>150</v>
      </c>
    </row>
  </sheetData>
  <mergeCells count="2">
    <mergeCell ref="A1:E1"/>
    <mergeCell ref="A2:E2"/>
  </mergeCell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showGridLines="0" workbookViewId="0">
      <pane ySplit="4" topLeftCell="A12" activePane="bottomLeft" state="frozen"/>
      <selection/>
      <selection pane="bottomLeft" activeCell="C20" sqref="C20"/>
    </sheetView>
  </sheetViews>
  <sheetFormatPr defaultColWidth="9" defaultRowHeight="13.5" outlineLevelCol="4"/>
  <cols>
    <col min="1" max="1" width="35" customWidth="1"/>
    <col min="2" max="2" width="18" customWidth="1"/>
    <col min="3" max="3" width="78" customWidth="1"/>
    <col min="4" max="4" width="52" customWidth="1"/>
    <col min="5" max="5" width="105" customWidth="1"/>
  </cols>
  <sheetData>
    <row r="1" ht="28.05" customHeight="1" spans="1:5">
      <c r="A1" s="1" t="s">
        <v>10</v>
      </c>
      <c r="B1" s="1"/>
      <c r="C1" s="1"/>
      <c r="D1" s="1"/>
      <c r="E1" s="1"/>
    </row>
    <row r="2" ht="31.95" customHeight="1" spans="1:5">
      <c r="A2" s="2" t="s">
        <v>151</v>
      </c>
      <c r="B2" s="2"/>
      <c r="C2" s="2"/>
      <c r="D2" s="2"/>
      <c r="E2" s="2"/>
    </row>
    <row r="3" ht="10" customHeight="1"/>
    <row r="4" ht="30" customHeight="1" spans="1:5">
      <c r="A4" s="3" t="s">
        <v>18</v>
      </c>
      <c r="B4" s="4" t="s">
        <v>19</v>
      </c>
      <c r="C4" s="4" t="s">
        <v>20</v>
      </c>
      <c r="D4" s="4" t="s">
        <v>21</v>
      </c>
      <c r="E4" s="13" t="s">
        <v>22</v>
      </c>
    </row>
    <row r="5" ht="54" customHeight="1" spans="1:5">
      <c r="A5" s="5" t="s">
        <v>152</v>
      </c>
      <c r="B5" s="6" t="s">
        <v>24</v>
      </c>
      <c r="C5" s="5" t="s">
        <v>153</v>
      </c>
      <c r="D5" s="5" t="s">
        <v>154</v>
      </c>
      <c r="E5" s="5" t="s">
        <v>155</v>
      </c>
    </row>
    <row r="6" ht="54" customHeight="1" spans="1:5">
      <c r="A6" s="7" t="s">
        <v>156</v>
      </c>
      <c r="B6" s="8" t="s">
        <v>24</v>
      </c>
      <c r="C6" s="7" t="s">
        <v>157</v>
      </c>
      <c r="D6" s="7" t="s">
        <v>158</v>
      </c>
      <c r="E6" s="7" t="s">
        <v>159</v>
      </c>
    </row>
    <row r="7" ht="66" customHeight="1" spans="1:5">
      <c r="A7" s="9" t="s">
        <v>160</v>
      </c>
      <c r="B7" s="10" t="s">
        <v>24</v>
      </c>
      <c r="C7" s="9" t="s">
        <v>161</v>
      </c>
      <c r="D7" s="9" t="s">
        <v>162</v>
      </c>
      <c r="E7" s="9" t="s">
        <v>163</v>
      </c>
    </row>
    <row r="8" ht="66" customHeight="1" spans="1:5">
      <c r="A8" s="7" t="s">
        <v>164</v>
      </c>
      <c r="B8" s="8" t="s">
        <v>24</v>
      </c>
      <c r="C8" s="7" t="s">
        <v>165</v>
      </c>
      <c r="D8" s="7" t="s">
        <v>166</v>
      </c>
      <c r="E8" s="7" t="s">
        <v>167</v>
      </c>
    </row>
    <row r="9" ht="84" customHeight="1" spans="1:5">
      <c r="A9" s="9" t="s">
        <v>168</v>
      </c>
      <c r="B9" s="10" t="s">
        <v>24</v>
      </c>
      <c r="C9" s="9" t="s">
        <v>169</v>
      </c>
      <c r="D9" s="9" t="s">
        <v>170</v>
      </c>
      <c r="E9" s="9" t="s">
        <v>171</v>
      </c>
    </row>
    <row r="10" ht="84" customHeight="1" spans="1:5">
      <c r="A10" s="7" t="s">
        <v>172</v>
      </c>
      <c r="B10" s="8" t="s">
        <v>24</v>
      </c>
      <c r="C10" s="7" t="s">
        <v>173</v>
      </c>
      <c r="D10" s="7" t="s">
        <v>174</v>
      </c>
      <c r="E10" s="7" t="s">
        <v>175</v>
      </c>
    </row>
    <row r="11" ht="84" customHeight="1" spans="1:5">
      <c r="A11" s="9" t="s">
        <v>176</v>
      </c>
      <c r="B11" s="10" t="s">
        <v>24</v>
      </c>
      <c r="C11" s="9" t="s">
        <v>177</v>
      </c>
      <c r="D11" s="9" t="s">
        <v>178</v>
      </c>
      <c r="E11" s="9" t="s">
        <v>179</v>
      </c>
    </row>
    <row r="12" ht="108" customHeight="1" spans="1:5">
      <c r="A12" s="7" t="s">
        <v>180</v>
      </c>
      <c r="B12" s="8" t="s">
        <v>24</v>
      </c>
      <c r="C12" s="7" t="s">
        <v>181</v>
      </c>
      <c r="D12" s="7" t="s">
        <v>182</v>
      </c>
      <c r="E12" s="7" t="s">
        <v>183</v>
      </c>
    </row>
    <row r="13" ht="54" customHeight="1" spans="1:5">
      <c r="A13" s="9" t="s">
        <v>184</v>
      </c>
      <c r="B13" s="10" t="s">
        <v>24</v>
      </c>
      <c r="C13" s="9" t="s">
        <v>185</v>
      </c>
      <c r="D13" s="9" t="s">
        <v>107</v>
      </c>
      <c r="E13" s="9" t="s">
        <v>186</v>
      </c>
    </row>
    <row r="14" ht="54" customHeight="1" spans="1:5">
      <c r="A14" s="7" t="s">
        <v>187</v>
      </c>
      <c r="B14" s="8" t="s">
        <v>24</v>
      </c>
      <c r="C14" s="7" t="s">
        <v>188</v>
      </c>
      <c r="D14" s="7" t="s">
        <v>189</v>
      </c>
      <c r="E14" s="7" t="s">
        <v>190</v>
      </c>
    </row>
    <row r="15" ht="54" customHeight="1" spans="1:5">
      <c r="A15" s="9" t="s">
        <v>191</v>
      </c>
      <c r="B15" s="10" t="s">
        <v>24</v>
      </c>
      <c r="C15" s="9" t="s">
        <v>192</v>
      </c>
      <c r="D15" s="9" t="s">
        <v>193</v>
      </c>
      <c r="E15" s="9" t="s">
        <v>194</v>
      </c>
    </row>
    <row r="16" ht="84" customHeight="1" spans="1:5">
      <c r="A16" s="7" t="s">
        <v>195</v>
      </c>
      <c r="B16" s="8" t="s">
        <v>24</v>
      </c>
      <c r="C16" s="7" t="s">
        <v>196</v>
      </c>
      <c r="D16" s="7" t="s">
        <v>197</v>
      </c>
      <c r="E16" s="7" t="s">
        <v>198</v>
      </c>
    </row>
    <row r="17" ht="66" customHeight="1" spans="1:5">
      <c r="A17" s="9" t="s">
        <v>199</v>
      </c>
      <c r="B17" s="10" t="s">
        <v>24</v>
      </c>
      <c r="C17" s="9" t="s">
        <v>200</v>
      </c>
      <c r="D17" s="9" t="s">
        <v>201</v>
      </c>
      <c r="E17" s="9" t="s">
        <v>202</v>
      </c>
    </row>
    <row r="18" ht="66" customHeight="1" spans="1:5">
      <c r="A18" s="7" t="s">
        <v>203</v>
      </c>
      <c r="B18" s="8" t="s">
        <v>24</v>
      </c>
      <c r="C18" s="7" t="s">
        <v>204</v>
      </c>
      <c r="D18" s="7" t="s">
        <v>205</v>
      </c>
      <c r="E18" s="7" t="s">
        <v>206</v>
      </c>
    </row>
    <row r="19" ht="84" customHeight="1" spans="1:5">
      <c r="A19" s="9" t="s">
        <v>207</v>
      </c>
      <c r="B19" s="10" t="s">
        <v>24</v>
      </c>
      <c r="C19" s="9" t="s">
        <v>208</v>
      </c>
      <c r="D19" s="9" t="s">
        <v>209</v>
      </c>
      <c r="E19" s="9" t="s">
        <v>210</v>
      </c>
    </row>
    <row r="20" ht="102" customHeight="1" spans="1:5">
      <c r="A20" s="11" t="s">
        <v>211</v>
      </c>
      <c r="B20" s="12" t="s">
        <v>24</v>
      </c>
      <c r="C20" s="11" t="s">
        <v>212</v>
      </c>
      <c r="D20" s="11" t="s">
        <v>213</v>
      </c>
      <c r="E20" s="11" t="s">
        <v>214</v>
      </c>
    </row>
  </sheetData>
  <mergeCells count="2">
    <mergeCell ref="A1:E1"/>
    <mergeCell ref="A2:E2"/>
  </mergeCell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showGridLines="0" tabSelected="1" workbookViewId="0">
      <pane ySplit="4" topLeftCell="A5" activePane="bottomLeft" state="frozen"/>
      <selection/>
      <selection pane="bottomLeft" activeCell="C12" sqref="C12"/>
    </sheetView>
  </sheetViews>
  <sheetFormatPr defaultColWidth="9" defaultRowHeight="13.5" outlineLevelCol="4"/>
  <cols>
    <col min="1" max="1" width="35" customWidth="1"/>
    <col min="2" max="2" width="18" customWidth="1"/>
    <col min="3" max="3" width="78" customWidth="1"/>
    <col min="4" max="4" width="52" customWidth="1"/>
    <col min="5" max="5" width="105" customWidth="1"/>
  </cols>
  <sheetData>
    <row r="1" ht="28.05" customHeight="1" spans="1:5">
      <c r="A1" s="1" t="s">
        <v>11</v>
      </c>
      <c r="B1" s="1"/>
      <c r="C1" s="1"/>
      <c r="D1" s="1"/>
      <c r="E1" s="1"/>
    </row>
    <row r="2" ht="31.95" customHeight="1" spans="1:5">
      <c r="A2" s="2" t="s">
        <v>17</v>
      </c>
      <c r="B2" s="2"/>
      <c r="C2" s="2"/>
      <c r="D2" s="2"/>
      <c r="E2" s="2"/>
    </row>
    <row r="3" ht="10" customHeight="1"/>
    <row r="4" ht="30" customHeight="1" spans="1:5">
      <c r="A4" s="3" t="s">
        <v>18</v>
      </c>
      <c r="B4" s="4" t="s">
        <v>19</v>
      </c>
      <c r="C4" s="4" t="s">
        <v>20</v>
      </c>
      <c r="D4" s="4" t="s">
        <v>21</v>
      </c>
      <c r="E4" s="13" t="s">
        <v>22</v>
      </c>
    </row>
    <row r="5" ht="66" customHeight="1" spans="1:5">
      <c r="A5" s="5" t="s">
        <v>215</v>
      </c>
      <c r="B5" s="6" t="s">
        <v>24</v>
      </c>
      <c r="C5" s="5" t="s">
        <v>216</v>
      </c>
      <c r="D5" s="5" t="s">
        <v>217</v>
      </c>
      <c r="E5" s="5" t="s">
        <v>218</v>
      </c>
    </row>
    <row r="6" ht="66" customHeight="1" spans="1:5">
      <c r="A6" s="7" t="s">
        <v>219</v>
      </c>
      <c r="B6" s="8" t="s">
        <v>24</v>
      </c>
      <c r="C6" s="7" t="s">
        <v>220</v>
      </c>
      <c r="D6" s="7" t="s">
        <v>221</v>
      </c>
      <c r="E6" s="7" t="s">
        <v>222</v>
      </c>
    </row>
    <row r="7" ht="66" customHeight="1" spans="1:5">
      <c r="A7" s="9" t="s">
        <v>223</v>
      </c>
      <c r="B7" s="10" t="s">
        <v>24</v>
      </c>
      <c r="C7" s="9" t="s">
        <v>224</v>
      </c>
      <c r="D7" s="9" t="s">
        <v>225</v>
      </c>
      <c r="E7" s="9" t="s">
        <v>226</v>
      </c>
    </row>
    <row r="8" ht="84" customHeight="1" spans="1:5">
      <c r="A8" s="7" t="s">
        <v>227</v>
      </c>
      <c r="B8" s="8" t="s">
        <v>24</v>
      </c>
      <c r="C8" s="7" t="s">
        <v>228</v>
      </c>
      <c r="D8" s="7" t="s">
        <v>229</v>
      </c>
      <c r="E8" s="7" t="s">
        <v>230</v>
      </c>
    </row>
    <row r="9" ht="54" customHeight="1" spans="1:5">
      <c r="A9" s="9" t="s">
        <v>231</v>
      </c>
      <c r="B9" s="10" t="s">
        <v>24</v>
      </c>
      <c r="C9" s="9" t="s">
        <v>232</v>
      </c>
      <c r="D9" s="9" t="s">
        <v>233</v>
      </c>
      <c r="E9" s="9" t="s">
        <v>234</v>
      </c>
    </row>
    <row r="10" ht="84" customHeight="1" spans="1:5">
      <c r="A10" s="7" t="s">
        <v>235</v>
      </c>
      <c r="B10" s="8" t="s">
        <v>24</v>
      </c>
      <c r="C10" s="7" t="s">
        <v>236</v>
      </c>
      <c r="D10" s="7" t="s">
        <v>237</v>
      </c>
      <c r="E10" s="7" t="s">
        <v>238</v>
      </c>
    </row>
    <row r="11" ht="84" customHeight="1" spans="1:5">
      <c r="A11" s="9" t="s">
        <v>239</v>
      </c>
      <c r="B11" s="10" t="s">
        <v>24</v>
      </c>
      <c r="C11" s="9" t="s">
        <v>240</v>
      </c>
      <c r="D11" s="9" t="s">
        <v>241</v>
      </c>
      <c r="E11" s="9" t="s">
        <v>242</v>
      </c>
    </row>
    <row r="12" ht="102" customHeight="1" spans="1:5">
      <c r="A12" s="11" t="s">
        <v>243</v>
      </c>
      <c r="B12" s="12" t="s">
        <v>24</v>
      </c>
      <c r="C12" s="11" t="s">
        <v>244</v>
      </c>
      <c r="D12" s="11" t="s">
        <v>245</v>
      </c>
      <c r="E12" s="11" t="s">
        <v>246</v>
      </c>
    </row>
  </sheetData>
  <mergeCells count="2">
    <mergeCell ref="A1:E1"/>
    <mergeCell ref="A2:E2"/>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任务汇总</vt:lpstr>
      <vt:lpstr>直接搅拌</vt:lpstr>
      <vt:lpstr>振荡混合</vt:lpstr>
      <vt:lpstr>倾倒混合</vt:lpstr>
      <vt:lpstr>有序加液后混合</vt:lpstr>
      <vt:lpstr>人工触发流程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qinmaokai</cp:lastModifiedBy>
  <dcterms:created xsi:type="dcterms:W3CDTF">2026-09-18T19:54:00Z</dcterms:created>
  <dcterms:modified xsi:type="dcterms:W3CDTF">2026-09-18T20:53:16Z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0BA4B76C30BB480CAAD2322F3E4AEA84_12</vt:lpwstr>
  </property>
  <property fmtid="{D5CDD505-2E9C-101B-9397-08002B2CF9AE}" pid="3" name="KSOProductBuildVer">
    <vt:lpwstr>2052-12.1.0.17900</vt:lpwstr>
  </property>
  <property fmtid="{D5CDD505-2E9C-101B-9397-08002B2CF9AE}" pid="4" name="CalculationRule">
    <vt:i4>0</vt:i4>
  </property>
</Properties>
</file>